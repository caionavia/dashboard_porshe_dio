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nitized" sheetId="1" state="visible" r:id="rId3"/>
    <sheet name="Mapeament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<sst xmlns="http://schemas.openxmlformats.org/spreadsheetml/2006/main" count="741" uniqueCount="279">
  <si>
    <t xml:space="preserve">SaleDateSanitized</t>
  </si>
  <si>
    <t xml:space="preserve">PorscheModelSanitized</t>
  </si>
  <si>
    <t xml:space="preserve">ModelYearSanitized</t>
  </si>
  <si>
    <t xml:space="preserve">SalesPriceSanitized</t>
  </si>
  <si>
    <t xml:space="preserve">VehicleMileageSanitized</t>
  </si>
  <si>
    <t xml:space="preserve">PayMethodSanitized</t>
  </si>
  <si>
    <t xml:space="preserve">CitySanitized</t>
  </si>
  <si>
    <t xml:space="preserve">StateSanitized</t>
  </si>
  <si>
    <t xml:space="preserve">DeliveryStatusSanitized</t>
  </si>
  <si>
    <t xml:space="preserve">PriceBand</t>
  </si>
  <si>
    <t xml:space="preserve">DeliveryStatusGrouped</t>
  </si>
  <si>
    <t xml:space="preserve">INVALID</t>
  </si>
  <si>
    <t xml:space="preserve">718 Cayman</t>
  </si>
  <si>
    <t xml:space="preserve">2022</t>
  </si>
  <si>
    <t xml:space="preserve">Credit Card</t>
  </si>
  <si>
    <t xml:space="preserve">Boston</t>
  </si>
  <si>
    <t xml:space="preserve">MA</t>
  </si>
  <si>
    <t xml:space="preserve">Delivered</t>
  </si>
  <si>
    <t xml:space="preserve">2024-03-14</t>
  </si>
  <si>
    <t xml:space="preserve">911 Turbo S</t>
  </si>
  <si>
    <t xml:space="preserve">2024</t>
  </si>
  <si>
    <t xml:space="preserve">Wire Transfer</t>
  </si>
  <si>
    <t xml:space="preserve">Seattle</t>
  </si>
  <si>
    <t xml:space="preserve">WA</t>
  </si>
  <si>
    <t xml:space="preserve">2024-04-18</t>
  </si>
  <si>
    <t xml:space="preserve">Cayenne Coupe</t>
  </si>
  <si>
    <t xml:space="preserve">2023</t>
  </si>
  <si>
    <t xml:space="preserve">Financing</t>
  </si>
  <si>
    <t xml:space="preserve">Austin</t>
  </si>
  <si>
    <t xml:space="preserve">TX</t>
  </si>
  <si>
    <t xml:space="preserve">In Transit</t>
  </si>
  <si>
    <t xml:space="preserve">Macan S</t>
  </si>
  <si>
    <t xml:space="preserve">2021</t>
  </si>
  <si>
    <t xml:space="preserve">Cash</t>
  </si>
  <si>
    <t xml:space="preserve">Denver</t>
  </si>
  <si>
    <t xml:space="preserve">CO</t>
  </si>
  <si>
    <t xml:space="preserve">Pending</t>
  </si>
  <si>
    <t xml:space="preserve">2024-05-22</t>
  </si>
  <si>
    <t xml:space="preserve">Taycan 4S</t>
  </si>
  <si>
    <t xml:space="preserve">Bank Transfer</t>
  </si>
  <si>
    <t xml:space="preserve">Los Angeles</t>
  </si>
  <si>
    <t xml:space="preserve">CA</t>
  </si>
  <si>
    <t xml:space="preserve">2024-08-06</t>
  </si>
  <si>
    <t xml:space="preserve">Panamera 4</t>
  </si>
  <si>
    <t xml:space="preserve">Miami</t>
  </si>
  <si>
    <t xml:space="preserve">FL</t>
  </si>
  <si>
    <t xml:space="preserve">Cancelled</t>
  </si>
  <si>
    <t xml:space="preserve">2024-07-11</t>
  </si>
  <si>
    <t xml:space="preserve">911 Carrera S</t>
  </si>
  <si>
    <t xml:space="preserve">2020</t>
  </si>
  <si>
    <t xml:space="preserve">Lease</t>
  </si>
  <si>
    <t xml:space="preserve">New York</t>
  </si>
  <si>
    <t xml:space="preserve">NY</t>
  </si>
  <si>
    <t xml:space="preserve">Cayenne E-Hybrid</t>
  </si>
  <si>
    <t xml:space="preserve">San Diego</t>
  </si>
  <si>
    <t xml:space="preserve">Pending Approval</t>
  </si>
  <si>
    <t xml:space="preserve">2024-08-19</t>
  </si>
  <si>
    <t xml:space="preserve">718 Boxster</t>
  </si>
  <si>
    <t xml:space="preserve">Debit Card</t>
  </si>
  <si>
    <t xml:space="preserve">Chicago</t>
  </si>
  <si>
    <t xml:space="preserve">IL</t>
  </si>
  <si>
    <t xml:space="preserve">Shipped</t>
  </si>
  <si>
    <t xml:space="preserve">2024-09-02</t>
  </si>
  <si>
    <t xml:space="preserve">Macan GTS</t>
  </si>
  <si>
    <t xml:space="preserve">Phoenix</t>
  </si>
  <si>
    <t xml:space="preserve">AZ</t>
  </si>
  <si>
    <t xml:space="preserve">2024-09-17</t>
  </si>
  <si>
    <t xml:space="preserve">Taycan Turbo</t>
  </si>
  <si>
    <t xml:space="preserve">ACH Payment</t>
  </si>
  <si>
    <t xml:space="preserve">Dallas</t>
  </si>
  <si>
    <t xml:space="preserve">911 GT3</t>
  </si>
  <si>
    <t xml:space="preserve">Las Vegas</t>
  </si>
  <si>
    <t xml:space="preserve">NV</t>
  </si>
  <si>
    <t xml:space="preserve">2024-05-11</t>
  </si>
  <si>
    <t xml:space="preserve">Panamera Turbo S</t>
  </si>
  <si>
    <t xml:space="preserve">San Jose</t>
  </si>
  <si>
    <t xml:space="preserve">2024-12-12</t>
  </si>
  <si>
    <t xml:space="preserve">Cayenne Turbo GT</t>
  </si>
  <si>
    <t xml:space="preserve">Crypto Payment</t>
  </si>
  <si>
    <t xml:space="preserve">Houston</t>
  </si>
  <si>
    <t xml:space="preserve">Awaiting Delivery</t>
  </si>
  <si>
    <t xml:space="preserve">2024-12-25</t>
  </si>
  <si>
    <t xml:space="preserve">911 Carrera Cabriolet</t>
  </si>
  <si>
    <t xml:space="preserve">Atlanta</t>
  </si>
  <si>
    <t xml:space="preserve">GA</t>
  </si>
  <si>
    <t xml:space="preserve">2025-01-06</t>
  </si>
  <si>
    <t xml:space="preserve">Macan</t>
  </si>
  <si>
    <t xml:space="preserve">Orlando</t>
  </si>
  <si>
    <t xml:space="preserve">718 Spyder RS</t>
  </si>
  <si>
    <t xml:space="preserve">Portland</t>
  </si>
  <si>
    <t xml:space="preserve">OR</t>
  </si>
  <si>
    <t xml:space="preserve">2025-02-14</t>
  </si>
  <si>
    <t xml:space="preserve">Taycan Cross Turismo</t>
  </si>
  <si>
    <t xml:space="preserve">Charlotte</t>
  </si>
  <si>
    <t xml:space="preserve">NC</t>
  </si>
  <si>
    <t xml:space="preserve">Cayenne S</t>
  </si>
  <si>
    <t xml:space="preserve">Nashville</t>
  </si>
  <si>
    <t xml:space="preserve">TN</t>
  </si>
  <si>
    <t xml:space="preserve">2025-03-21</t>
  </si>
  <si>
    <t xml:space="preserve">911 Targa 4S</t>
  </si>
  <si>
    <t xml:space="preserve">Minneapolis</t>
  </si>
  <si>
    <t xml:space="preserve">MN</t>
  </si>
  <si>
    <t xml:space="preserve">2025-03-28</t>
  </si>
  <si>
    <t xml:space="preserve">Panamera</t>
  </si>
  <si>
    <t xml:space="preserve">Philadelphia</t>
  </si>
  <si>
    <t xml:space="preserve">PA</t>
  </si>
  <si>
    <t xml:space="preserve">2025-04-09</t>
  </si>
  <si>
    <t xml:space="preserve">Macan Electric</t>
  </si>
  <si>
    <t xml:space="preserve">2025</t>
  </si>
  <si>
    <t xml:space="preserve">San Antonio</t>
  </si>
  <si>
    <t xml:space="preserve">911 Dakar</t>
  </si>
  <si>
    <t xml:space="preserve">Salt Lake City</t>
  </si>
  <si>
    <t xml:space="preserve">UT</t>
  </si>
  <si>
    <t xml:space="preserve">Awaiting Pickup</t>
  </si>
  <si>
    <t xml:space="preserve">2025-05-12</t>
  </si>
  <si>
    <t xml:space="preserve">Taycan GTS</t>
  </si>
  <si>
    <t xml:space="preserve">Raleigh</t>
  </si>
  <si>
    <t xml:space="preserve">2025-06-18</t>
  </si>
  <si>
    <t xml:space="preserve">Cayenne</t>
  </si>
  <si>
    <t xml:space="preserve">Detroit</t>
  </si>
  <si>
    <t xml:space="preserve">MI</t>
  </si>
  <si>
    <t xml:space="preserve">718 Cayman GT4 RS</t>
  </si>
  <si>
    <t xml:space="preserve">Columbus</t>
  </si>
  <si>
    <t xml:space="preserve">OH</t>
  </si>
  <si>
    <t xml:space="preserve">2025-07-07</t>
  </si>
  <si>
    <t xml:space="preserve">911 Carrera GTS</t>
  </si>
  <si>
    <t xml:space="preserve">Indianapolis</t>
  </si>
  <si>
    <t xml:space="preserve">IN</t>
  </si>
  <si>
    <t xml:space="preserve">2025-07-22</t>
  </si>
  <si>
    <t xml:space="preserve">Panamera 4 E-Hybrid</t>
  </si>
  <si>
    <t xml:space="preserve">Fort Worth</t>
  </si>
  <si>
    <t xml:space="preserve">2025-08-14</t>
  </si>
  <si>
    <t xml:space="preserve">Macan T</t>
  </si>
  <si>
    <t xml:space="preserve">Jacksonville</t>
  </si>
  <si>
    <t xml:space="preserve">2025-09-01</t>
  </si>
  <si>
    <t xml:space="preserve">Taycan Turbo S</t>
  </si>
  <si>
    <t xml:space="preserve">Pending Review</t>
  </si>
  <si>
    <t xml:space="preserve">911 Carrera</t>
  </si>
  <si>
    <t xml:space="preserve">Tampa</t>
  </si>
  <si>
    <t xml:space="preserve">2025-09-18</t>
  </si>
  <si>
    <t xml:space="preserve">Sacramento</t>
  </si>
  <si>
    <t xml:space="preserve">2025-10-04</t>
  </si>
  <si>
    <t xml:space="preserve">Cleveland</t>
  </si>
  <si>
    <t xml:space="preserve">2025-10-12</t>
  </si>
  <si>
    <t xml:space="preserve">Taycan</t>
  </si>
  <si>
    <t xml:space="preserve">Milwaukee</t>
  </si>
  <si>
    <t xml:space="preserve">WI</t>
  </si>
  <si>
    <t xml:space="preserve">2025-10-29</t>
  </si>
  <si>
    <t xml:space="preserve">Panamera 4S</t>
  </si>
  <si>
    <t xml:space="preserve">Kansas City</t>
  </si>
  <si>
    <t xml:space="preserve">MO</t>
  </si>
  <si>
    <t xml:space="preserve">2025-02-11</t>
  </si>
  <si>
    <t xml:space="preserve">Omaha</t>
  </si>
  <si>
    <t xml:space="preserve">NE</t>
  </si>
  <si>
    <t xml:space="preserve">2025-11-16</t>
  </si>
  <si>
    <t xml:space="preserve">911 Turbo</t>
  </si>
  <si>
    <t xml:space="preserve">Albuquerque</t>
  </si>
  <si>
    <t xml:space="preserve">NM</t>
  </si>
  <si>
    <t xml:space="preserve">Tucson</t>
  </si>
  <si>
    <t xml:space="preserve">Fresno</t>
  </si>
  <si>
    <t xml:space="preserve">2025-12-07</t>
  </si>
  <si>
    <t xml:space="preserve">Virginia Beach</t>
  </si>
  <si>
    <t xml:space="preserve">VA</t>
  </si>
  <si>
    <t xml:space="preserve">2025-12-22</t>
  </si>
  <si>
    <t xml:space="preserve">Panamera Turbo</t>
  </si>
  <si>
    <t xml:space="preserve">Colorado Springs</t>
  </si>
  <si>
    <t xml:space="preserve">911 GT3 RS</t>
  </si>
  <si>
    <t xml:space="preserve">Arlington</t>
  </si>
  <si>
    <t xml:space="preserve">2026-01-08</t>
  </si>
  <si>
    <t xml:space="preserve">Bakersfield</t>
  </si>
  <si>
    <t xml:space="preserve">2026-01-15</t>
  </si>
  <si>
    <t xml:space="preserve">Mesa</t>
  </si>
  <si>
    <t xml:space="preserve">2026-01-28</t>
  </si>
  <si>
    <t xml:space="preserve">2026-02-03</t>
  </si>
  <si>
    <t xml:space="preserve">Long Beach</t>
  </si>
  <si>
    <t xml:space="preserve">911 Targa 4</t>
  </si>
  <si>
    <t xml:space="preserve">Oakland</t>
  </si>
  <si>
    <t xml:space="preserve">2026-02-19</t>
  </si>
  <si>
    <t xml:space="preserve">Tulsa</t>
  </si>
  <si>
    <t xml:space="preserve">OK</t>
  </si>
  <si>
    <t xml:space="preserve">2026-02-25</t>
  </si>
  <si>
    <t xml:space="preserve">Cayenne Turbo</t>
  </si>
  <si>
    <t xml:space="preserve">Wichita</t>
  </si>
  <si>
    <t xml:space="preserve">KS</t>
  </si>
  <si>
    <t xml:space="preserve">2026-03-01</t>
  </si>
  <si>
    <t xml:space="preserve">New Orleans</t>
  </si>
  <si>
    <t xml:space="preserve">LA</t>
  </si>
  <si>
    <t xml:space="preserve">2026-03-14</t>
  </si>
  <si>
    <t xml:space="preserve">Honolulu</t>
  </si>
  <si>
    <t xml:space="preserve">HI</t>
  </si>
  <si>
    <t xml:space="preserve">Anaheim</t>
  </si>
  <si>
    <t xml:space="preserve">2026-04-08</t>
  </si>
  <si>
    <t xml:space="preserve">Henderson</t>
  </si>
  <si>
    <t xml:space="preserve">Awaiting Review</t>
  </si>
  <si>
    <t xml:space="preserve">Lexington</t>
  </si>
  <si>
    <t xml:space="preserve">KY</t>
  </si>
  <si>
    <t xml:space="preserve">2026-04-21</t>
  </si>
  <si>
    <t xml:space="preserve">Riverside</t>
  </si>
  <si>
    <t xml:space="preserve">2026-04-29</t>
  </si>
  <si>
    <t xml:space="preserve">Corpus Christi</t>
  </si>
  <si>
    <t xml:space="preserve">2026-05-05</t>
  </si>
  <si>
    <t xml:space="preserve">St. Louis</t>
  </si>
  <si>
    <t xml:space="preserve">2026-05-14</t>
  </si>
  <si>
    <t xml:space="preserve">Pittsburgh</t>
  </si>
  <si>
    <t xml:space="preserve">2026-05-23</t>
  </si>
  <si>
    <t xml:space="preserve">Cincinnati</t>
  </si>
  <si>
    <t xml:space="preserve">2026-06-02</t>
  </si>
  <si>
    <t xml:space="preserve">Anchorage</t>
  </si>
  <si>
    <t xml:space="preserve">AK</t>
  </si>
  <si>
    <t xml:space="preserve">2026-06-15</t>
  </si>
  <si>
    <t xml:space="preserve">Plano</t>
  </si>
  <si>
    <t xml:space="preserve">Newark</t>
  </si>
  <si>
    <t xml:space="preserve">NJ</t>
  </si>
  <si>
    <t xml:space="preserve">2026-07-07</t>
  </si>
  <si>
    <t xml:space="preserve">Greensboro</t>
  </si>
  <si>
    <t xml:space="preserve">2026-07-20</t>
  </si>
  <si>
    <t xml:space="preserve">Lincoln</t>
  </si>
  <si>
    <t xml:space="preserve">Jersey City</t>
  </si>
  <si>
    <t xml:space="preserve">Chandler</t>
  </si>
  <si>
    <t xml:space="preserve">2026-08-18</t>
  </si>
  <si>
    <t xml:space="preserve">718 Boxster GTS</t>
  </si>
  <si>
    <t xml:space="preserve">Reno</t>
  </si>
  <si>
    <t xml:space="preserve">2026-08-31</t>
  </si>
  <si>
    <t xml:space="preserve">Buffalo</t>
  </si>
  <si>
    <t xml:space="preserve">2026-09-09</t>
  </si>
  <si>
    <t xml:space="preserve">Durham</t>
  </si>
  <si>
    <t xml:space="preserve">2026-09-17</t>
  </si>
  <si>
    <t xml:space="preserve">Laredo</t>
  </si>
  <si>
    <t xml:space="preserve">2026-09-28</t>
  </si>
  <si>
    <t xml:space="preserve">Madison</t>
  </si>
  <si>
    <t xml:space="preserve">2026-10-06</t>
  </si>
  <si>
    <t xml:space="preserve">Lubbock</t>
  </si>
  <si>
    <t xml:space="preserve">2026-10-16</t>
  </si>
  <si>
    <t xml:space="preserve">718 Cayman S</t>
  </si>
  <si>
    <t xml:space="preserve">Toledo</t>
  </si>
  <si>
    <t xml:space="preserve">2026-10-29</t>
  </si>
  <si>
    <t xml:space="preserve">2026</t>
  </si>
  <si>
    <t xml:space="preserve">Irvine</t>
  </si>
  <si>
    <t xml:space="preserve">2026-11-03</t>
  </si>
  <si>
    <t xml:space="preserve">Garland</t>
  </si>
  <si>
    <t xml:space="preserve">Irving</t>
  </si>
  <si>
    <t xml:space="preserve">2026-12-11</t>
  </si>
  <si>
    <t xml:space="preserve">Chesapeake</t>
  </si>
  <si>
    <t xml:space="preserve">2026-12-24</t>
  </si>
  <si>
    <t xml:space="preserve">Scottsdale</t>
  </si>
  <si>
    <t xml:space="preserve">Norfolk</t>
  </si>
  <si>
    <t xml:space="preserve">2026-12-28</t>
  </si>
  <si>
    <t xml:space="preserve">Boise</t>
  </si>
  <si>
    <t xml:space="preserve">ID</t>
  </si>
  <si>
    <t xml:space="preserve">2027-01-15</t>
  </si>
  <si>
    <t xml:space="preserve">2027-01-29</t>
  </si>
  <si>
    <t xml:space="preserve">2027-02-11</t>
  </si>
  <si>
    <t xml:space="preserve">2027-03-05</t>
  </si>
  <si>
    <t xml:space="preserve">2027-03-18</t>
  </si>
  <si>
    <t xml:space="preserve">2027-04-02</t>
  </si>
  <si>
    <t xml:space="preserve">2027-05-12</t>
  </si>
  <si>
    <t xml:space="preserve">2027-05-27</t>
  </si>
  <si>
    <t xml:space="preserve">San Francisco</t>
  </si>
  <si>
    <t xml:space="preserve">2027-06-18</t>
  </si>
  <si>
    <t xml:space="preserve">2027-07-03</t>
  </si>
  <si>
    <t xml:space="preserve">2027-07-22</t>
  </si>
  <si>
    <t xml:space="preserve">2027-08-08</t>
  </si>
  <si>
    <t xml:space="preserve">2027-09-19</t>
  </si>
  <si>
    <t xml:space="preserve">2027-09-25</t>
  </si>
  <si>
    <t xml:space="preserve">2027-10-01</t>
  </si>
  <si>
    <t xml:space="preserve">Mapeamento de status de entrega</t>
  </si>
  <si>
    <t xml:space="preserve">Faixas de preço (US$)</t>
  </si>
  <si>
    <t xml:space="preserve">Status original</t>
  </si>
  <si>
    <t xml:space="preserve">Status agrupado</t>
  </si>
  <si>
    <t xml:space="preserve">Limite superior – faixa 1</t>
  </si>
  <si>
    <t xml:space="preserve">Concluído</t>
  </si>
  <si>
    <t xml:space="preserve">Limite superior – faixa 2</t>
  </si>
  <si>
    <t xml:space="preserve">Em aprovação</t>
  </si>
  <si>
    <t xml:space="preserve">Premissas (editáveis, em azul):</t>
  </si>
  <si>
    <t xml:space="preserve">Faixas: até E2; acima de E2 até E3; acima de E3. Limites escolhidos por mim, não vêm da base.</t>
  </si>
  <si>
    <t xml:space="preserve">"Pending" foi classificado como Em aprovação por suposição; a base não diz se é aprovação ou logística.</t>
  </si>
  <si>
    <t xml:space="preserve">Em logística</t>
  </si>
  <si>
    <t xml:space="preserve">Alterar o grupo na coluna B atualiza a coluna K da aba Sanitized.</t>
  </si>
  <si>
    <t xml:space="preserve">Cancelado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</si>
</sst>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USD]\ #,##0.00;\-[$USD]\ #,##0.00"/>
    <numFmt numFmtId="166" formatCode="[$-F400]h:mm:ss\ AM/PM"/>
    <numFmt numFmtId="167" formatCode="_(* #,##0.00_);_(* \(#,##0.00\);_(* \-??_);_(@_)"/>
    <numFmt numFmtId="168" formatCode="#,##0_ ;\-#,##0\ "/>
    <numFmt numFmtId="169" formatCode="\$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65F46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" activeCellId="0" sqref="E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3"/>
    <col collapsed="false" customWidth="true" hidden="false" outlineLevel="0" max="3" min="3" style="0" width="20"/>
    <col collapsed="false" customWidth="true" hidden="false" outlineLevel="0" max="4" min="4" style="1" width="21"/>
    <col collapsed="false" customWidth="true" hidden="false" outlineLevel="0" max="5" min="5" style="0" width="25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25"/>
    <col collapsed="false" customWidth="true" hidden="false" outlineLevel="0" max="10" min="10" style="0" width="22"/>
    <col collapsed="false" customWidth="true" hidden="false" outlineLevel="0" max="11" min="11" style="0" width="2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5" t="s">
        <v>13</v>
      </c>
      <c r="D2" s="1" t="n">
        <v>79500</v>
      </c>
      <c r="E2" s="6" t="n">
        <v>9800</v>
      </c>
      <c r="F2" s="7" t="s">
        <v>14</v>
      </c>
      <c r="G2" s="7" t="s">
        <v>15</v>
      </c>
      <c r="H2" s="7" t="s">
        <v>16</v>
      </c>
      <c r="I2" s="7" t="s">
        <v>17</v>
      </c>
      <c r="J2" s="8" t="str">
        <f aca="false">IF(D2&lt;=Mapeamento!$E$2,"Até US$ 100 mil",IF(D2&lt;=Mapeamento!$E$3,"US$ 100–200 mil","Acima de US$ 200 mil"))</f>
        <v>Até US$ 100 mil</v>
      </c>
      <c r="K2" s="8" t="str">
        <f aca="false">IFERROR(INDEX(Mapeamento!$B$3:$B$12,MATCH(I2,Mapeamento!$A$3:$A$12,0)),"NÃO MAPEADO")</f>
        <v>Concluído</v>
      </c>
    </row>
    <row r="3" customFormat="false" ht="15" hidden="false" customHeight="false" outlineLevel="0" collapsed="false">
      <c r="A3" s="0" t="s">
        <v>18</v>
      </c>
      <c r="B3" s="0" t="s">
        <v>19</v>
      </c>
      <c r="C3" s="5" t="s">
        <v>20</v>
      </c>
      <c r="D3" s="1" t="n">
        <v>235000</v>
      </c>
      <c r="E3" s="6" t="n">
        <v>1200</v>
      </c>
      <c r="F3" s="7" t="s">
        <v>21</v>
      </c>
      <c r="G3" s="7" t="s">
        <v>22</v>
      </c>
      <c r="H3" s="7" t="s">
        <v>23</v>
      </c>
      <c r="I3" s="7" t="s">
        <v>17</v>
      </c>
      <c r="J3" s="8" t="str">
        <f aca="false">IF(D3&lt;=Mapeamento!$E$2,"Até US$ 100 mil",IF(D3&lt;=Mapeamento!$E$3,"US$ 100–200 mil","Acima de US$ 200 mil"))</f>
        <v>Acima de US$ 200 mil</v>
      </c>
      <c r="K3" s="8" t="str">
        <f aca="false">IFERROR(INDEX(Mapeamento!$B$3:$B$12,MATCH(I3,Mapeamento!$A$3:$A$12,0)),"NÃO MAPEADO")</f>
        <v>Concluído</v>
      </c>
    </row>
    <row r="4" customFormat="false" ht="15" hidden="false" customHeight="false" outlineLevel="0" collapsed="false">
      <c r="A4" s="0" t="s">
        <v>24</v>
      </c>
      <c r="B4" s="0" t="s">
        <v>25</v>
      </c>
      <c r="C4" s="5" t="s">
        <v>26</v>
      </c>
      <c r="D4" s="1" t="n">
        <v>112750</v>
      </c>
      <c r="E4" s="6" t="n">
        <v>6400</v>
      </c>
      <c r="F4" s="7" t="s">
        <v>27</v>
      </c>
      <c r="G4" s="7" t="s">
        <v>28</v>
      </c>
      <c r="H4" s="7" t="s">
        <v>29</v>
      </c>
      <c r="I4" s="7" t="s">
        <v>30</v>
      </c>
      <c r="J4" s="8" t="str">
        <f aca="false">IF(D4&lt;=Mapeamento!$E$2,"Até US$ 100 mil",IF(D4&lt;=Mapeamento!$E$3,"US$ 100–200 mil","Acima de US$ 200 mil"))</f>
        <v>US$ 100–200 mil</v>
      </c>
      <c r="K4" s="8" t="str">
        <f aca="false">IFERROR(INDEX(Mapeamento!$B$3:$B$12,MATCH(I4,Mapeamento!$A$3:$A$12,0)),"NÃO MAPEADO")</f>
        <v>Em logística</v>
      </c>
    </row>
    <row r="5" customFormat="false" ht="15" hidden="false" customHeight="false" outlineLevel="0" collapsed="false">
      <c r="A5" s="0" t="s">
        <v>11</v>
      </c>
      <c r="B5" s="0" t="s">
        <v>31</v>
      </c>
      <c r="C5" s="5" t="s">
        <v>32</v>
      </c>
      <c r="D5" s="1" t="n">
        <v>68900</v>
      </c>
      <c r="E5" s="6" t="n">
        <v>28</v>
      </c>
      <c r="F5" s="7" t="s">
        <v>33</v>
      </c>
      <c r="G5" s="7" t="s">
        <v>34</v>
      </c>
      <c r="H5" s="7" t="s">
        <v>35</v>
      </c>
      <c r="I5" s="7" t="s">
        <v>36</v>
      </c>
      <c r="J5" s="8" t="str">
        <f aca="false">IF(D5&lt;=Mapeamento!$E$2,"Até US$ 100 mil",IF(D5&lt;=Mapeamento!$E$3,"US$ 100–200 mil","Acima de US$ 200 mil"))</f>
        <v>Até US$ 100 mil</v>
      </c>
      <c r="K5" s="8" t="str">
        <f aca="false">IFERROR(INDEX(Mapeamento!$B$3:$B$12,MATCH(I5,Mapeamento!$A$3:$A$12,0)),"NÃO MAPEADO")</f>
        <v>Em aprovação</v>
      </c>
    </row>
    <row r="6" customFormat="false" ht="15" hidden="false" customHeight="false" outlineLevel="0" collapsed="false">
      <c r="A6" s="0" t="s">
        <v>37</v>
      </c>
      <c r="B6" s="0" t="s">
        <v>38</v>
      </c>
      <c r="C6" s="5" t="s">
        <v>20</v>
      </c>
      <c r="D6" s="1" t="n">
        <v>121000</v>
      </c>
      <c r="E6" s="6" t="n">
        <v>0</v>
      </c>
      <c r="F6" s="7" t="s">
        <v>39</v>
      </c>
      <c r="G6" s="7" t="s">
        <v>40</v>
      </c>
      <c r="H6" s="7" t="s">
        <v>41</v>
      </c>
      <c r="I6" s="7" t="s">
        <v>17</v>
      </c>
      <c r="J6" s="8" t="str">
        <f aca="false">IF(D6&lt;=Mapeamento!$E$2,"Até US$ 100 mil",IF(D6&lt;=Mapeamento!$E$3,"US$ 100–200 mil","Acima de US$ 200 mil"))</f>
        <v>US$ 100–200 mil</v>
      </c>
      <c r="K6" s="8" t="str">
        <f aca="false">IFERROR(INDEX(Mapeamento!$B$3:$B$12,MATCH(I6,Mapeamento!$A$3:$A$12,0)),"NÃO MAPEADO")</f>
        <v>Concluído</v>
      </c>
    </row>
    <row r="7" customFormat="false" ht="15" hidden="false" customHeight="false" outlineLevel="0" collapsed="false">
      <c r="A7" s="0" t="s">
        <v>42</v>
      </c>
      <c r="B7" s="0" t="s">
        <v>43</v>
      </c>
      <c r="C7" s="5" t="s">
        <v>26</v>
      </c>
      <c r="D7" s="1" t="n">
        <v>104500</v>
      </c>
      <c r="E7" s="6" t="n">
        <v>14500</v>
      </c>
      <c r="F7" s="7" t="s">
        <v>14</v>
      </c>
      <c r="G7" s="7" t="s">
        <v>44</v>
      </c>
      <c r="H7" s="7" t="s">
        <v>45</v>
      </c>
      <c r="I7" s="7" t="s">
        <v>46</v>
      </c>
      <c r="J7" s="8" t="str">
        <f aca="false">IF(D7&lt;=Mapeamento!$E$2,"Até US$ 100 mil",IF(D7&lt;=Mapeamento!$E$3,"US$ 100–200 mil","Acima de US$ 200 mil"))</f>
        <v>US$ 100–200 mil</v>
      </c>
      <c r="K7" s="8" t="str">
        <f aca="false">IFERROR(INDEX(Mapeamento!$B$3:$B$12,MATCH(I7,Mapeamento!$A$3:$A$12,0)),"NÃO MAPEADO")</f>
        <v>Cancelado</v>
      </c>
    </row>
    <row r="8" customFormat="false" ht="15" hidden="false" customHeight="false" outlineLevel="0" collapsed="false">
      <c r="A8" s="0" t="s">
        <v>47</v>
      </c>
      <c r="B8" s="0" t="s">
        <v>48</v>
      </c>
      <c r="C8" s="5" t="s">
        <v>49</v>
      </c>
      <c r="D8" s="1" t="n">
        <v>96300</v>
      </c>
      <c r="E8" s="6" t="n">
        <v>41000</v>
      </c>
      <c r="F8" s="7" t="s">
        <v>50</v>
      </c>
      <c r="G8" s="7" t="s">
        <v>51</v>
      </c>
      <c r="H8" s="7" t="s">
        <v>52</v>
      </c>
      <c r="I8" s="7" t="s">
        <v>17</v>
      </c>
      <c r="J8" s="8" t="str">
        <f aca="false">IF(D8&lt;=Mapeamento!$E$2,"Até US$ 100 mil",IF(D8&lt;=Mapeamento!$E$3,"US$ 100–200 mil","Acima de US$ 200 mil"))</f>
        <v>Até US$ 100 mil</v>
      </c>
      <c r="K8" s="8" t="str">
        <f aca="false">IFERROR(INDEX(Mapeamento!$B$3:$B$12,MATCH(I8,Mapeamento!$A$3:$A$12,0)),"NÃO MAPEADO")</f>
        <v>Concluído</v>
      </c>
    </row>
    <row r="9" customFormat="false" ht="15" hidden="false" customHeight="false" outlineLevel="0" collapsed="false">
      <c r="A9" s="0" t="s">
        <v>11</v>
      </c>
      <c r="B9" s="0" t="s">
        <v>53</v>
      </c>
      <c r="C9" s="5" t="s">
        <v>13</v>
      </c>
      <c r="D9" s="1" t="n">
        <v>89750</v>
      </c>
      <c r="E9" s="6" t="n">
        <v>11744</v>
      </c>
      <c r="F9" s="7" t="s">
        <v>21</v>
      </c>
      <c r="G9" s="7" t="s">
        <v>54</v>
      </c>
      <c r="H9" s="7" t="s">
        <v>41</v>
      </c>
      <c r="I9" s="7" t="s">
        <v>55</v>
      </c>
      <c r="J9" s="8" t="str">
        <f aca="false">IF(D9&lt;=Mapeamento!$E$2,"Até US$ 100 mil",IF(D9&lt;=Mapeamento!$E$3,"US$ 100–200 mil","Acima de US$ 200 mil"))</f>
        <v>Até US$ 100 mil</v>
      </c>
      <c r="K9" s="8" t="str">
        <f aca="false">IFERROR(INDEX(Mapeamento!$B$3:$B$12,MATCH(I9,Mapeamento!$A$3:$A$12,0)),"NÃO MAPEADO")</f>
        <v>Em aprovação</v>
      </c>
    </row>
    <row r="10" customFormat="false" ht="15" hidden="false" customHeight="false" outlineLevel="0" collapsed="false">
      <c r="A10" s="0" t="s">
        <v>56</v>
      </c>
      <c r="B10" s="0" t="s">
        <v>57</v>
      </c>
      <c r="C10" s="5" t="s">
        <v>32</v>
      </c>
      <c r="D10" s="1" t="n">
        <v>73500</v>
      </c>
      <c r="E10" s="6" t="n">
        <v>22300</v>
      </c>
      <c r="F10" s="7" t="s">
        <v>58</v>
      </c>
      <c r="G10" s="7" t="s">
        <v>59</v>
      </c>
      <c r="H10" s="7" t="s">
        <v>60</v>
      </c>
      <c r="I10" s="7" t="s">
        <v>61</v>
      </c>
      <c r="J10" s="8" t="str">
        <f aca="false">IF(D10&lt;=Mapeamento!$E$2,"Até US$ 100 mil",IF(D10&lt;=Mapeamento!$E$3,"US$ 100–200 mil","Acima de US$ 200 mil"))</f>
        <v>Até US$ 100 mil</v>
      </c>
      <c r="K10" s="8" t="str">
        <f aca="false">IFERROR(INDEX(Mapeamento!$B$3:$B$12,MATCH(I10,Mapeamento!$A$3:$A$12,0)),"NÃO MAPEADO")</f>
        <v>Em logística</v>
      </c>
    </row>
    <row r="11" customFormat="false" ht="15" hidden="false" customHeight="false" outlineLevel="0" collapsed="false">
      <c r="A11" s="0" t="s">
        <v>62</v>
      </c>
      <c r="B11" s="0" t="s">
        <v>63</v>
      </c>
      <c r="C11" s="5" t="s">
        <v>20</v>
      </c>
      <c r="D11" s="1" t="n">
        <v>95000</v>
      </c>
      <c r="E11" s="6" t="n">
        <v>3500</v>
      </c>
      <c r="F11" s="7" t="s">
        <v>27</v>
      </c>
      <c r="G11" s="7" t="s">
        <v>64</v>
      </c>
      <c r="H11" s="7" t="s">
        <v>65</v>
      </c>
      <c r="I11" s="7" t="s">
        <v>30</v>
      </c>
      <c r="J11" s="8" t="str">
        <f aca="false">IF(D11&lt;=Mapeamento!$E$2,"Até US$ 100 mil",IF(D11&lt;=Mapeamento!$E$3,"US$ 100–200 mil","Acima de US$ 200 mil"))</f>
        <v>Até US$ 100 mil</v>
      </c>
      <c r="K11" s="8" t="str">
        <f aca="false">IFERROR(INDEX(Mapeamento!$B$3:$B$12,MATCH(I11,Mapeamento!$A$3:$A$12,0)),"NÃO MAPEADO")</f>
        <v>Em logística</v>
      </c>
    </row>
    <row r="12" customFormat="false" ht="15" hidden="false" customHeight="false" outlineLevel="0" collapsed="false">
      <c r="A12" s="0" t="s">
        <v>66</v>
      </c>
      <c r="B12" s="0" t="s">
        <v>67</v>
      </c>
      <c r="C12" s="5" t="s">
        <v>26</v>
      </c>
      <c r="D12" s="1" t="n">
        <v>153200.5</v>
      </c>
      <c r="E12" s="6" t="n">
        <v>11</v>
      </c>
      <c r="F12" s="7" t="s">
        <v>68</v>
      </c>
      <c r="G12" s="7" t="s">
        <v>69</v>
      </c>
      <c r="H12" s="7" t="s">
        <v>29</v>
      </c>
      <c r="I12" s="7" t="s">
        <v>17</v>
      </c>
      <c r="J12" s="8" t="str">
        <f aca="false">IF(D12&lt;=Mapeamento!$E$2,"Até US$ 100 mil",IF(D12&lt;=Mapeamento!$E$3,"US$ 100–200 mil","Acima de US$ 200 mil"))</f>
        <v>US$ 100–200 mil</v>
      </c>
      <c r="K12" s="8" t="str">
        <f aca="false">IFERROR(INDEX(Mapeamento!$B$3:$B$12,MATCH(I12,Mapeamento!$A$3:$A$12,0)),"NÃO MAPEADO")</f>
        <v>Concluído</v>
      </c>
    </row>
    <row r="13" customFormat="false" ht="15" hidden="false" customHeight="false" outlineLevel="0" collapsed="false">
      <c r="A13" s="0" t="s">
        <v>11</v>
      </c>
      <c r="B13" s="0" t="s">
        <v>70</v>
      </c>
      <c r="C13" s="5" t="s">
        <v>20</v>
      </c>
      <c r="D13" s="1" t="n">
        <v>241000</v>
      </c>
      <c r="E13" s="6" t="n">
        <v>750</v>
      </c>
      <c r="F13" s="7" t="s">
        <v>21</v>
      </c>
      <c r="G13" s="7" t="s">
        <v>71</v>
      </c>
      <c r="H13" s="7" t="s">
        <v>72</v>
      </c>
      <c r="I13" s="7" t="s">
        <v>36</v>
      </c>
      <c r="J13" s="8" t="str">
        <f aca="false">IF(D13&lt;=Mapeamento!$E$2,"Até US$ 100 mil",IF(D13&lt;=Mapeamento!$E$3,"US$ 100–200 mil","Acima de US$ 200 mil"))</f>
        <v>Acima de US$ 200 mil</v>
      </c>
      <c r="K13" s="8" t="str">
        <f aca="false">IFERROR(INDEX(Mapeamento!$B$3:$B$12,MATCH(I13,Mapeamento!$A$3:$A$12,0)),"NÃO MAPEADO")</f>
        <v>Em aprovação</v>
      </c>
    </row>
    <row r="14" customFormat="false" ht="15" hidden="false" customHeight="false" outlineLevel="0" collapsed="false">
      <c r="A14" s="0" t="s">
        <v>73</v>
      </c>
      <c r="B14" s="0" t="s">
        <v>74</v>
      </c>
      <c r="C14" s="5" t="s">
        <v>13</v>
      </c>
      <c r="D14" s="1" t="n">
        <v>132000</v>
      </c>
      <c r="E14" s="6" t="n">
        <v>19250</v>
      </c>
      <c r="F14" s="7" t="s">
        <v>33</v>
      </c>
      <c r="G14" s="7" t="s">
        <v>75</v>
      </c>
      <c r="H14" s="7" t="s">
        <v>41</v>
      </c>
      <c r="I14" s="7" t="s">
        <v>17</v>
      </c>
      <c r="J14" s="8" t="str">
        <f aca="false">IF(D14&lt;=Mapeamento!$E$2,"Até US$ 100 mil",IF(D14&lt;=Mapeamento!$E$3,"US$ 100–200 mil","Acima de US$ 200 mil"))</f>
        <v>US$ 100–200 mil</v>
      </c>
      <c r="K14" s="8" t="str">
        <f aca="false">IFERROR(INDEX(Mapeamento!$B$3:$B$12,MATCH(I14,Mapeamento!$A$3:$A$12,0)),"NÃO MAPEADO")</f>
        <v>Concluído</v>
      </c>
    </row>
    <row r="15" customFormat="false" ht="15" hidden="false" customHeight="false" outlineLevel="0" collapsed="false">
      <c r="A15" s="0" t="s">
        <v>76</v>
      </c>
      <c r="B15" s="0" t="s">
        <v>77</v>
      </c>
      <c r="C15" s="5" t="s">
        <v>20</v>
      </c>
      <c r="D15" s="1" t="n">
        <v>188000</v>
      </c>
      <c r="E15" s="6" t="n">
        <v>2100</v>
      </c>
      <c r="F15" s="7" t="s">
        <v>78</v>
      </c>
      <c r="G15" s="7" t="s">
        <v>79</v>
      </c>
      <c r="H15" s="7" t="s">
        <v>29</v>
      </c>
      <c r="I15" s="7" t="s">
        <v>80</v>
      </c>
      <c r="J15" s="8" t="str">
        <f aca="false">IF(D15&lt;=Mapeamento!$E$2,"Até US$ 100 mil",IF(D15&lt;=Mapeamento!$E$3,"US$ 100–200 mil","Acima de US$ 200 mil"))</f>
        <v>US$ 100–200 mil</v>
      </c>
      <c r="K15" s="8" t="str">
        <f aca="false">IFERROR(INDEX(Mapeamento!$B$3:$B$12,MATCH(I15,Mapeamento!$A$3:$A$12,0)),"NÃO MAPEADO")</f>
        <v>Em logística</v>
      </c>
    </row>
    <row r="16" customFormat="false" ht="15" hidden="false" customHeight="false" outlineLevel="0" collapsed="false">
      <c r="A16" s="0" t="s">
        <v>81</v>
      </c>
      <c r="B16" s="0" t="s">
        <v>82</v>
      </c>
      <c r="C16" s="5" t="s">
        <v>26</v>
      </c>
      <c r="D16" s="1" t="n">
        <v>127800</v>
      </c>
      <c r="E16" s="6" t="n">
        <v>12000</v>
      </c>
      <c r="F16" s="7" t="s">
        <v>14</v>
      </c>
      <c r="G16" s="7" t="s">
        <v>83</v>
      </c>
      <c r="H16" s="7" t="s">
        <v>84</v>
      </c>
      <c r="I16" s="7" t="s">
        <v>17</v>
      </c>
      <c r="J16" s="8" t="str">
        <f aca="false">IF(D16&lt;=Mapeamento!$E$2,"Até US$ 100 mil",IF(D16&lt;=Mapeamento!$E$3,"US$ 100–200 mil","Acima de US$ 200 mil"))</f>
        <v>US$ 100–200 mil</v>
      </c>
      <c r="K16" s="8" t="str">
        <f aca="false">IFERROR(INDEX(Mapeamento!$B$3:$B$12,MATCH(I16,Mapeamento!$A$3:$A$12,0)),"NÃO MAPEADO")</f>
        <v>Concluído</v>
      </c>
    </row>
    <row r="17" customFormat="false" ht="15" hidden="false" customHeight="false" outlineLevel="0" collapsed="false">
      <c r="A17" s="0" t="s">
        <v>85</v>
      </c>
      <c r="B17" s="0" t="s">
        <v>86</v>
      </c>
      <c r="C17" s="5" t="s">
        <v>32</v>
      </c>
      <c r="D17" s="1" t="n">
        <v>58900</v>
      </c>
      <c r="E17" s="6" t="n">
        <v>33700</v>
      </c>
      <c r="F17" s="7" t="s">
        <v>39</v>
      </c>
      <c r="G17" s="7" t="s">
        <v>87</v>
      </c>
      <c r="H17" s="7" t="s">
        <v>45</v>
      </c>
      <c r="I17" s="7" t="s">
        <v>36</v>
      </c>
      <c r="J17" s="8" t="str">
        <f aca="false">IF(D17&lt;=Mapeamento!$E$2,"Até US$ 100 mil",IF(D17&lt;=Mapeamento!$E$3,"US$ 100–200 mil","Acima de US$ 200 mil"))</f>
        <v>Até US$ 100 mil</v>
      </c>
      <c r="K17" s="8" t="str">
        <f aca="false">IFERROR(INDEX(Mapeamento!$B$3:$B$12,MATCH(I17,Mapeamento!$A$3:$A$12,0)),"NÃO MAPEADO")</f>
        <v>Em aprovação</v>
      </c>
    </row>
    <row r="18" customFormat="false" ht="15" hidden="false" customHeight="false" outlineLevel="0" collapsed="false">
      <c r="A18" s="0" t="s">
        <v>11</v>
      </c>
      <c r="B18" s="0" t="s">
        <v>88</v>
      </c>
      <c r="C18" s="5" t="s">
        <v>20</v>
      </c>
      <c r="D18" s="1" t="n">
        <v>164000</v>
      </c>
      <c r="E18" s="6" t="n">
        <v>900</v>
      </c>
      <c r="F18" s="7" t="s">
        <v>27</v>
      </c>
      <c r="G18" s="7" t="s">
        <v>89</v>
      </c>
      <c r="H18" s="7" t="s">
        <v>90</v>
      </c>
      <c r="I18" s="7" t="s">
        <v>30</v>
      </c>
      <c r="J18" s="8" t="str">
        <f aca="false">IF(D18&lt;=Mapeamento!$E$2,"Até US$ 100 mil",IF(D18&lt;=Mapeamento!$E$3,"US$ 100–200 mil","Acima de US$ 200 mil"))</f>
        <v>US$ 100–200 mil</v>
      </c>
      <c r="K18" s="8" t="str">
        <f aca="false">IFERROR(INDEX(Mapeamento!$B$3:$B$12,MATCH(I18,Mapeamento!$A$3:$A$12,0)),"NÃO MAPEADO")</f>
        <v>Em logística</v>
      </c>
    </row>
    <row r="19" customFormat="false" ht="15" hidden="false" customHeight="false" outlineLevel="0" collapsed="false">
      <c r="A19" s="0" t="s">
        <v>91</v>
      </c>
      <c r="B19" s="0" t="s">
        <v>92</v>
      </c>
      <c r="C19" s="5" t="s">
        <v>26</v>
      </c>
      <c r="D19" s="1" t="n">
        <v>118500</v>
      </c>
      <c r="E19" s="6" t="n">
        <v>7800</v>
      </c>
      <c r="F19" s="7" t="s">
        <v>21</v>
      </c>
      <c r="G19" s="7" t="s">
        <v>93</v>
      </c>
      <c r="H19" s="7" t="s">
        <v>94</v>
      </c>
      <c r="I19" s="7" t="s">
        <v>17</v>
      </c>
      <c r="J19" s="8" t="str">
        <f aca="false">IF(D19&lt;=Mapeamento!$E$2,"Até US$ 100 mil",IF(D19&lt;=Mapeamento!$E$3,"US$ 100–200 mil","Acima de US$ 200 mil"))</f>
        <v>US$ 100–200 mil</v>
      </c>
      <c r="K19" s="8" t="str">
        <f aca="false">IFERROR(INDEX(Mapeamento!$B$3:$B$12,MATCH(I19,Mapeamento!$A$3:$A$12,0)),"NÃO MAPEADO")</f>
        <v>Concluído</v>
      </c>
    </row>
    <row r="20" customFormat="false" ht="15" hidden="false" customHeight="false" outlineLevel="0" collapsed="false">
      <c r="A20" s="0" t="s">
        <v>11</v>
      </c>
      <c r="B20" s="0" t="s">
        <v>95</v>
      </c>
      <c r="C20" s="5" t="s">
        <v>13</v>
      </c>
      <c r="D20" s="1" t="n">
        <v>91300</v>
      </c>
      <c r="E20" s="6" t="n">
        <v>16000</v>
      </c>
      <c r="F20" s="7" t="s">
        <v>14</v>
      </c>
      <c r="G20" s="7" t="s">
        <v>96</v>
      </c>
      <c r="H20" s="7" t="s">
        <v>97</v>
      </c>
      <c r="I20" s="7" t="s">
        <v>36</v>
      </c>
      <c r="J20" s="8" t="str">
        <f aca="false">IF(D20&lt;=Mapeamento!$E$2,"Até US$ 100 mil",IF(D20&lt;=Mapeamento!$E$3,"US$ 100–200 mil","Acima de US$ 200 mil"))</f>
        <v>Até US$ 100 mil</v>
      </c>
      <c r="K20" s="8" t="str">
        <f aca="false">IFERROR(INDEX(Mapeamento!$B$3:$B$12,MATCH(I20,Mapeamento!$A$3:$A$12,0)),"NÃO MAPEADO")</f>
        <v>Em aprovação</v>
      </c>
    </row>
    <row r="21" customFormat="false" ht="15" hidden="false" customHeight="false" outlineLevel="0" collapsed="false">
      <c r="A21" s="0" t="s">
        <v>98</v>
      </c>
      <c r="B21" s="0" t="s">
        <v>99</v>
      </c>
      <c r="C21" s="5" t="s">
        <v>20</v>
      </c>
      <c r="D21" s="1" t="n">
        <v>158750</v>
      </c>
      <c r="E21" s="6" t="n">
        <v>2500</v>
      </c>
      <c r="F21" s="7" t="s">
        <v>50</v>
      </c>
      <c r="G21" s="7" t="s">
        <v>100</v>
      </c>
      <c r="H21" s="7" t="s">
        <v>101</v>
      </c>
      <c r="I21" s="7" t="s">
        <v>17</v>
      </c>
      <c r="J21" s="8" t="str">
        <f aca="false">IF(D21&lt;=Mapeamento!$E$2,"Até US$ 100 mil",IF(D21&lt;=Mapeamento!$E$3,"US$ 100–200 mil","Acima de US$ 200 mil"))</f>
        <v>US$ 100–200 mil</v>
      </c>
      <c r="K21" s="8" t="str">
        <f aca="false">IFERROR(INDEX(Mapeamento!$B$3:$B$12,MATCH(I21,Mapeamento!$A$3:$A$12,0)),"NÃO MAPEADO")</f>
        <v>Concluído</v>
      </c>
    </row>
    <row r="22" customFormat="false" ht="15" hidden="false" customHeight="false" outlineLevel="0" collapsed="false">
      <c r="A22" s="0" t="s">
        <v>102</v>
      </c>
      <c r="B22" s="0" t="s">
        <v>103</v>
      </c>
      <c r="C22" s="5" t="s">
        <v>49</v>
      </c>
      <c r="D22" s="1" t="n">
        <v>72000</v>
      </c>
      <c r="E22" s="6" t="n">
        <v>49000</v>
      </c>
      <c r="F22" s="7" t="s">
        <v>39</v>
      </c>
      <c r="G22" s="7" t="s">
        <v>104</v>
      </c>
      <c r="H22" s="7" t="s">
        <v>105</v>
      </c>
      <c r="I22" s="7" t="s">
        <v>46</v>
      </c>
      <c r="J22" s="8" t="str">
        <f aca="false">IF(D22&lt;=Mapeamento!$E$2,"Até US$ 100 mil",IF(D22&lt;=Mapeamento!$E$3,"US$ 100–200 mil","Acima de US$ 200 mil"))</f>
        <v>Até US$ 100 mil</v>
      </c>
      <c r="K22" s="8" t="str">
        <f aca="false">IFERROR(INDEX(Mapeamento!$B$3:$B$12,MATCH(I22,Mapeamento!$A$3:$A$12,0)),"NÃO MAPEADO")</f>
        <v>Cancelado</v>
      </c>
    </row>
    <row r="23" customFormat="false" ht="15" hidden="false" customHeight="false" outlineLevel="0" collapsed="false">
      <c r="A23" s="0" t="s">
        <v>106</v>
      </c>
      <c r="B23" s="0" t="s">
        <v>107</v>
      </c>
      <c r="C23" s="5" t="s">
        <v>108</v>
      </c>
      <c r="D23" s="1" t="n">
        <v>86500</v>
      </c>
      <c r="E23" s="6" t="n">
        <v>0</v>
      </c>
      <c r="F23" s="7" t="s">
        <v>21</v>
      </c>
      <c r="G23" s="7" t="s">
        <v>109</v>
      </c>
      <c r="H23" s="7" t="s">
        <v>29</v>
      </c>
      <c r="I23" s="7" t="s">
        <v>17</v>
      </c>
      <c r="J23" s="8" t="str">
        <f aca="false">IF(D23&lt;=Mapeamento!$E$2,"Até US$ 100 mil",IF(D23&lt;=Mapeamento!$E$3,"US$ 100–200 mil","Acima de US$ 200 mil"))</f>
        <v>Até US$ 100 mil</v>
      </c>
      <c r="K23" s="8" t="str">
        <f aca="false">IFERROR(INDEX(Mapeamento!$B$3:$B$12,MATCH(I23,Mapeamento!$A$3:$A$12,0)),"NÃO MAPEADO")</f>
        <v>Concluído</v>
      </c>
    </row>
    <row r="24" customFormat="false" ht="15" hidden="false" customHeight="false" outlineLevel="0" collapsed="false">
      <c r="A24" s="0" t="s">
        <v>11</v>
      </c>
      <c r="B24" s="0" t="s">
        <v>110</v>
      </c>
      <c r="C24" s="5" t="s">
        <v>20</v>
      </c>
      <c r="D24" s="1" t="n">
        <v>270000</v>
      </c>
      <c r="E24" s="6" t="n">
        <v>1050</v>
      </c>
      <c r="F24" s="7" t="s">
        <v>33</v>
      </c>
      <c r="G24" s="7" t="s">
        <v>111</v>
      </c>
      <c r="H24" s="7" t="s">
        <v>112</v>
      </c>
      <c r="I24" s="7" t="s">
        <v>113</v>
      </c>
      <c r="J24" s="8" t="str">
        <f aca="false">IF(D24&lt;=Mapeamento!$E$2,"Até US$ 100 mil",IF(D24&lt;=Mapeamento!$E$3,"US$ 100–200 mil","Acima de US$ 200 mil"))</f>
        <v>Acima de US$ 200 mil</v>
      </c>
      <c r="K24" s="8" t="str">
        <f aca="false">IFERROR(INDEX(Mapeamento!$B$3:$B$12,MATCH(I24,Mapeamento!$A$3:$A$12,0)),"NÃO MAPEADO")</f>
        <v>Em logística</v>
      </c>
    </row>
    <row r="25" customFormat="false" ht="15" hidden="false" customHeight="false" outlineLevel="0" collapsed="false">
      <c r="A25" s="0" t="s">
        <v>114</v>
      </c>
      <c r="B25" s="0" t="s">
        <v>115</v>
      </c>
      <c r="C25" s="5" t="s">
        <v>26</v>
      </c>
      <c r="D25" s="1" t="n">
        <v>139000</v>
      </c>
      <c r="E25" s="6" t="n">
        <v>6250</v>
      </c>
      <c r="F25" s="7" t="s">
        <v>27</v>
      </c>
      <c r="G25" s="7" t="s">
        <v>116</v>
      </c>
      <c r="H25" s="7" t="s">
        <v>94</v>
      </c>
      <c r="I25" s="7" t="s">
        <v>30</v>
      </c>
      <c r="J25" s="8" t="str">
        <f aca="false">IF(D25&lt;=Mapeamento!$E$2,"Até US$ 100 mil",IF(D25&lt;=Mapeamento!$E$3,"US$ 100–200 mil","Acima de US$ 200 mil"))</f>
        <v>US$ 100–200 mil</v>
      </c>
      <c r="K25" s="8" t="str">
        <f aca="false">IFERROR(INDEX(Mapeamento!$B$3:$B$12,MATCH(I25,Mapeamento!$A$3:$A$12,0)),"NÃO MAPEADO")</f>
        <v>Em logística</v>
      </c>
    </row>
    <row r="26" customFormat="false" ht="15" hidden="false" customHeight="false" outlineLevel="0" collapsed="false">
      <c r="A26" s="0" t="s">
        <v>117</v>
      </c>
      <c r="B26" s="0" t="s">
        <v>118</v>
      </c>
      <c r="C26" s="5" t="s">
        <v>32</v>
      </c>
      <c r="D26" s="1" t="n">
        <v>76800</v>
      </c>
      <c r="E26" s="6" t="n">
        <v>38400</v>
      </c>
      <c r="F26" s="7" t="s">
        <v>14</v>
      </c>
      <c r="G26" s="7" t="s">
        <v>119</v>
      </c>
      <c r="H26" s="7" t="s">
        <v>120</v>
      </c>
      <c r="I26" s="7" t="s">
        <v>17</v>
      </c>
      <c r="J26" s="8" t="str">
        <f aca="false">IF(D26&lt;=Mapeamento!$E$2,"Até US$ 100 mil",IF(D26&lt;=Mapeamento!$E$3,"US$ 100–200 mil","Acima de US$ 200 mil"))</f>
        <v>Até US$ 100 mil</v>
      </c>
      <c r="K26" s="8" t="str">
        <f aca="false">IFERROR(INDEX(Mapeamento!$B$3:$B$12,MATCH(I26,Mapeamento!$A$3:$A$12,0)),"NÃO MAPEADO")</f>
        <v>Concluído</v>
      </c>
    </row>
    <row r="27" customFormat="false" ht="15" hidden="false" customHeight="false" outlineLevel="0" collapsed="false">
      <c r="A27" s="0" t="s">
        <v>11</v>
      </c>
      <c r="B27" s="0" t="s">
        <v>121</v>
      </c>
      <c r="C27" s="5" t="s">
        <v>20</v>
      </c>
      <c r="D27" s="1" t="n">
        <v>173600</v>
      </c>
      <c r="E27" s="6" t="n">
        <v>400</v>
      </c>
      <c r="F27" s="7" t="s">
        <v>21</v>
      </c>
      <c r="G27" s="7" t="s">
        <v>122</v>
      </c>
      <c r="H27" s="7" t="s">
        <v>123</v>
      </c>
      <c r="I27" s="7" t="s">
        <v>36</v>
      </c>
      <c r="J27" s="8" t="str">
        <f aca="false">IF(D27&lt;=Mapeamento!$E$2,"Até US$ 100 mil",IF(D27&lt;=Mapeamento!$E$3,"US$ 100–200 mil","Acima de US$ 200 mil"))</f>
        <v>US$ 100–200 mil</v>
      </c>
      <c r="K27" s="8" t="str">
        <f aca="false">IFERROR(INDEX(Mapeamento!$B$3:$B$12,MATCH(I27,Mapeamento!$A$3:$A$12,0)),"NÃO MAPEADO")</f>
        <v>Em aprovação</v>
      </c>
    </row>
    <row r="28" customFormat="false" ht="15" hidden="false" customHeight="false" outlineLevel="0" collapsed="false">
      <c r="A28" s="0" t="s">
        <v>124</v>
      </c>
      <c r="B28" s="0" t="s">
        <v>125</v>
      </c>
      <c r="C28" s="5" t="s">
        <v>13</v>
      </c>
      <c r="D28" s="1" t="n">
        <v>119900</v>
      </c>
      <c r="E28" s="6" t="n">
        <v>13600</v>
      </c>
      <c r="F28" s="7" t="s">
        <v>33</v>
      </c>
      <c r="G28" s="7" t="s">
        <v>126</v>
      </c>
      <c r="H28" s="7" t="s">
        <v>127</v>
      </c>
      <c r="I28" s="7" t="s">
        <v>17</v>
      </c>
      <c r="J28" s="8" t="str">
        <f aca="false">IF(D28&lt;=Mapeamento!$E$2,"Até US$ 100 mil",IF(D28&lt;=Mapeamento!$E$3,"US$ 100–200 mil","Acima de US$ 200 mil"))</f>
        <v>US$ 100–200 mil</v>
      </c>
      <c r="K28" s="8" t="str">
        <f aca="false">IFERROR(INDEX(Mapeamento!$B$3:$B$12,MATCH(I28,Mapeamento!$A$3:$A$12,0)),"NÃO MAPEADO")</f>
        <v>Concluído</v>
      </c>
    </row>
    <row r="29" customFormat="false" ht="15" hidden="false" customHeight="false" outlineLevel="0" collapsed="false">
      <c r="A29" s="0" t="s">
        <v>128</v>
      </c>
      <c r="B29" s="0" t="s">
        <v>129</v>
      </c>
      <c r="C29" s="5" t="s">
        <v>26</v>
      </c>
      <c r="D29" s="1" t="n">
        <v>109250</v>
      </c>
      <c r="E29" s="6" t="n">
        <v>8900</v>
      </c>
      <c r="F29" s="7" t="s">
        <v>50</v>
      </c>
      <c r="G29" s="7" t="s">
        <v>130</v>
      </c>
      <c r="H29" s="7" t="s">
        <v>29</v>
      </c>
      <c r="I29" s="7" t="s">
        <v>30</v>
      </c>
      <c r="J29" s="8" t="str">
        <f aca="false">IF(D29&lt;=Mapeamento!$E$2,"Até US$ 100 mil",IF(D29&lt;=Mapeamento!$E$3,"US$ 100–200 mil","Acima de US$ 200 mil"))</f>
        <v>US$ 100–200 mil</v>
      </c>
      <c r="K29" s="8" t="str">
        <f aca="false">IFERROR(INDEX(Mapeamento!$B$3:$B$12,MATCH(I29,Mapeamento!$A$3:$A$12,0)),"NÃO MAPEADO")</f>
        <v>Em logística</v>
      </c>
    </row>
    <row r="30" customFormat="false" ht="15" hidden="false" customHeight="false" outlineLevel="0" collapsed="false">
      <c r="A30" s="0" t="s">
        <v>131</v>
      </c>
      <c r="B30" s="0" t="s">
        <v>132</v>
      </c>
      <c r="C30" s="5" t="s">
        <v>13</v>
      </c>
      <c r="D30" s="1" t="n">
        <v>82000</v>
      </c>
      <c r="E30" s="6" t="n">
        <v>21750</v>
      </c>
      <c r="F30" s="7" t="s">
        <v>21</v>
      </c>
      <c r="G30" s="7" t="s">
        <v>133</v>
      </c>
      <c r="H30" s="7" t="s">
        <v>45</v>
      </c>
      <c r="I30" s="7" t="s">
        <v>17</v>
      </c>
      <c r="J30" s="8" t="str">
        <f aca="false">IF(D30&lt;=Mapeamento!$E$2,"Até US$ 100 mil",IF(D30&lt;=Mapeamento!$E$3,"US$ 100–200 mil","Acima de US$ 200 mil"))</f>
        <v>Até US$ 100 mil</v>
      </c>
      <c r="K30" s="8" t="str">
        <f aca="false">IFERROR(INDEX(Mapeamento!$B$3:$B$12,MATCH(I30,Mapeamento!$A$3:$A$12,0)),"NÃO MAPEADO")</f>
        <v>Concluído</v>
      </c>
    </row>
    <row r="31" customFormat="false" ht="15" hidden="false" customHeight="false" outlineLevel="0" collapsed="false">
      <c r="A31" s="0" t="s">
        <v>134</v>
      </c>
      <c r="B31" s="0" t="s">
        <v>135</v>
      </c>
      <c r="C31" s="5" t="s">
        <v>108</v>
      </c>
      <c r="D31" s="1" t="n">
        <v>214000</v>
      </c>
      <c r="E31" s="6" t="n">
        <v>0</v>
      </c>
      <c r="F31" s="7" t="s">
        <v>78</v>
      </c>
      <c r="G31" s="7" t="s">
        <v>54</v>
      </c>
      <c r="H31" s="7" t="s">
        <v>41</v>
      </c>
      <c r="I31" s="7" t="s">
        <v>136</v>
      </c>
      <c r="J31" s="8" t="str">
        <f aca="false">IF(D31&lt;=Mapeamento!$E$2,"Até US$ 100 mil",IF(D31&lt;=Mapeamento!$E$3,"US$ 100–200 mil","Acima de US$ 200 mil"))</f>
        <v>Acima de US$ 200 mil</v>
      </c>
      <c r="K31" s="8" t="str">
        <f aca="false">IFERROR(INDEX(Mapeamento!$B$3:$B$12,MATCH(I31,Mapeamento!$A$3:$A$12,0)),"NÃO MAPEADO")</f>
        <v>Em aprovação</v>
      </c>
    </row>
    <row r="32" customFormat="false" ht="15" hidden="false" customHeight="false" outlineLevel="0" collapsed="false">
      <c r="A32" s="0" t="s">
        <v>11</v>
      </c>
      <c r="B32" s="0" t="s">
        <v>137</v>
      </c>
      <c r="C32" s="5" t="s">
        <v>20</v>
      </c>
      <c r="D32" s="1" t="n">
        <v>124500</v>
      </c>
      <c r="E32" s="6" t="n">
        <v>4800</v>
      </c>
      <c r="F32" s="7" t="s">
        <v>14</v>
      </c>
      <c r="G32" s="7" t="s">
        <v>138</v>
      </c>
      <c r="H32" s="7" t="s">
        <v>45</v>
      </c>
      <c r="I32" s="7" t="s">
        <v>17</v>
      </c>
      <c r="J32" s="8" t="str">
        <f aca="false">IF(D32&lt;=Mapeamento!$E$2,"Até US$ 100 mil",IF(D32&lt;=Mapeamento!$E$3,"US$ 100–200 mil","Acima de US$ 200 mil"))</f>
        <v>US$ 100–200 mil</v>
      </c>
      <c r="K32" s="8" t="str">
        <f aca="false">IFERROR(INDEX(Mapeamento!$B$3:$B$12,MATCH(I32,Mapeamento!$A$3:$A$12,0)),"NÃO MAPEADO")</f>
        <v>Concluído</v>
      </c>
    </row>
    <row r="33" customFormat="false" ht="15" hidden="false" customHeight="false" outlineLevel="0" collapsed="false">
      <c r="A33" s="0" t="s">
        <v>139</v>
      </c>
      <c r="B33" s="0" t="s">
        <v>95</v>
      </c>
      <c r="C33" s="5" t="s">
        <v>26</v>
      </c>
      <c r="D33" s="1" t="n">
        <v>98200</v>
      </c>
      <c r="E33" s="6" t="n">
        <v>12200</v>
      </c>
      <c r="F33" s="7" t="s">
        <v>39</v>
      </c>
      <c r="G33" s="7" t="s">
        <v>140</v>
      </c>
      <c r="H33" s="7" t="s">
        <v>41</v>
      </c>
      <c r="I33" s="7" t="s">
        <v>36</v>
      </c>
      <c r="J33" s="8" t="str">
        <f aca="false">IF(D33&lt;=Mapeamento!$E$2,"Até US$ 100 mil",IF(D33&lt;=Mapeamento!$E$3,"US$ 100–200 mil","Acima de US$ 200 mil"))</f>
        <v>Até US$ 100 mil</v>
      </c>
      <c r="K33" s="8" t="str">
        <f aca="false">IFERROR(INDEX(Mapeamento!$B$3:$B$12,MATCH(I33,Mapeamento!$A$3:$A$12,0)),"NÃO MAPEADO")</f>
        <v>Em aprovação</v>
      </c>
    </row>
    <row r="34" customFormat="false" ht="15" hidden="false" customHeight="false" outlineLevel="0" collapsed="false">
      <c r="A34" s="0" t="s">
        <v>141</v>
      </c>
      <c r="B34" s="0" t="s">
        <v>86</v>
      </c>
      <c r="C34" s="5" t="s">
        <v>13</v>
      </c>
      <c r="D34" s="1" t="n">
        <v>67500</v>
      </c>
      <c r="E34" s="6" t="n">
        <v>24100</v>
      </c>
      <c r="F34" s="7" t="s">
        <v>27</v>
      </c>
      <c r="G34" s="7" t="s">
        <v>142</v>
      </c>
      <c r="H34" s="7" t="s">
        <v>123</v>
      </c>
      <c r="I34" s="7" t="s">
        <v>17</v>
      </c>
      <c r="J34" s="8" t="str">
        <f aca="false">IF(D34&lt;=Mapeamento!$E$2,"Até US$ 100 mil",IF(D34&lt;=Mapeamento!$E$3,"US$ 100–200 mil","Acima de US$ 200 mil"))</f>
        <v>Até US$ 100 mil</v>
      </c>
      <c r="K34" s="8" t="str">
        <f aca="false">IFERROR(INDEX(Mapeamento!$B$3:$B$12,MATCH(I34,Mapeamento!$A$3:$A$12,0)),"NÃO MAPEADO")</f>
        <v>Concluído</v>
      </c>
    </row>
    <row r="35" customFormat="false" ht="15" hidden="false" customHeight="false" outlineLevel="0" collapsed="false">
      <c r="A35" s="0" t="s">
        <v>143</v>
      </c>
      <c r="B35" s="0" t="s">
        <v>144</v>
      </c>
      <c r="C35" s="5" t="s">
        <v>108</v>
      </c>
      <c r="D35" s="1" t="n">
        <v>116900</v>
      </c>
      <c r="E35" s="6" t="n">
        <v>0</v>
      </c>
      <c r="F35" s="7" t="s">
        <v>21</v>
      </c>
      <c r="G35" s="7" t="s">
        <v>145</v>
      </c>
      <c r="H35" s="7" t="s">
        <v>146</v>
      </c>
      <c r="I35" s="7" t="s">
        <v>30</v>
      </c>
      <c r="J35" s="8" t="str">
        <f aca="false">IF(D35&lt;=Mapeamento!$E$2,"Até US$ 100 mil",IF(D35&lt;=Mapeamento!$E$3,"US$ 100–200 mil","Acima de US$ 200 mil"))</f>
        <v>US$ 100–200 mil</v>
      </c>
      <c r="K35" s="8" t="str">
        <f aca="false">IFERROR(INDEX(Mapeamento!$B$3:$B$12,MATCH(I35,Mapeamento!$A$3:$A$12,0)),"NÃO MAPEADO")</f>
        <v>Em logística</v>
      </c>
    </row>
    <row r="36" customFormat="false" ht="15" hidden="false" customHeight="false" outlineLevel="0" collapsed="false">
      <c r="A36" s="0" t="s">
        <v>147</v>
      </c>
      <c r="B36" s="0" t="s">
        <v>148</v>
      </c>
      <c r="C36" s="5" t="s">
        <v>20</v>
      </c>
      <c r="D36" s="1" t="n">
        <v>112000</v>
      </c>
      <c r="E36" s="6" t="n">
        <v>10</v>
      </c>
      <c r="F36" s="7" t="s">
        <v>33</v>
      </c>
      <c r="G36" s="7" t="s">
        <v>149</v>
      </c>
      <c r="H36" s="7" t="s">
        <v>150</v>
      </c>
      <c r="I36" s="7" t="s">
        <v>17</v>
      </c>
      <c r="J36" s="8" t="str">
        <f aca="false">IF(D36&lt;=Mapeamento!$E$2,"Até US$ 100 mil",IF(D36&lt;=Mapeamento!$E$3,"US$ 100–200 mil","Acima de US$ 200 mil"))</f>
        <v>US$ 100–200 mil</v>
      </c>
      <c r="K36" s="8" t="str">
        <f aca="false">IFERROR(INDEX(Mapeamento!$B$3:$B$12,MATCH(I36,Mapeamento!$A$3:$A$12,0)),"NÃO MAPEADO")</f>
        <v>Concluído</v>
      </c>
    </row>
    <row r="37" customFormat="false" ht="15" hidden="false" customHeight="false" outlineLevel="0" collapsed="false">
      <c r="A37" s="0" t="s">
        <v>151</v>
      </c>
      <c r="B37" s="0" t="s">
        <v>57</v>
      </c>
      <c r="C37" s="5" t="s">
        <v>32</v>
      </c>
      <c r="D37" s="1" t="n">
        <v>74000</v>
      </c>
      <c r="E37" s="6" t="n">
        <v>31000</v>
      </c>
      <c r="F37" s="7" t="s">
        <v>58</v>
      </c>
      <c r="G37" s="7" t="s">
        <v>152</v>
      </c>
      <c r="H37" s="7" t="s">
        <v>153</v>
      </c>
      <c r="I37" s="7" t="s">
        <v>46</v>
      </c>
      <c r="J37" s="8" t="str">
        <f aca="false">IF(D37&lt;=Mapeamento!$E$2,"Até US$ 100 mil",IF(D37&lt;=Mapeamento!$E$3,"US$ 100–200 mil","Acima de US$ 200 mil"))</f>
        <v>Até US$ 100 mil</v>
      </c>
      <c r="K37" s="8" t="str">
        <f aca="false">IFERROR(INDEX(Mapeamento!$B$3:$B$12,MATCH(I37,Mapeamento!$A$3:$A$12,0)),"NÃO MAPEADO")</f>
        <v>Cancelado</v>
      </c>
    </row>
    <row r="38" customFormat="false" ht="15" hidden="false" customHeight="false" outlineLevel="0" collapsed="false">
      <c r="A38" s="0" t="s">
        <v>154</v>
      </c>
      <c r="B38" s="0" t="s">
        <v>155</v>
      </c>
      <c r="C38" s="5" t="s">
        <v>20</v>
      </c>
      <c r="D38" s="1" t="n">
        <v>198300</v>
      </c>
      <c r="E38" s="6" t="n">
        <v>2400</v>
      </c>
      <c r="F38" s="7" t="s">
        <v>21</v>
      </c>
      <c r="G38" s="7" t="s">
        <v>156</v>
      </c>
      <c r="H38" s="7" t="s">
        <v>157</v>
      </c>
      <c r="I38" s="7" t="s">
        <v>80</v>
      </c>
      <c r="J38" s="8" t="str">
        <f aca="false">IF(D38&lt;=Mapeamento!$E$2,"Até US$ 100 mil",IF(D38&lt;=Mapeamento!$E$3,"US$ 100–200 mil","Acima de US$ 200 mil"))</f>
        <v>US$ 100–200 mil</v>
      </c>
      <c r="K38" s="8" t="str">
        <f aca="false">IFERROR(INDEX(Mapeamento!$B$3:$B$12,MATCH(I38,Mapeamento!$A$3:$A$12,0)),"NÃO MAPEADO")</f>
        <v>Em logística</v>
      </c>
    </row>
    <row r="39" customFormat="false" ht="15" hidden="false" customHeight="false" outlineLevel="0" collapsed="false">
      <c r="A39" s="0" t="s">
        <v>11</v>
      </c>
      <c r="B39" s="0" t="s">
        <v>25</v>
      </c>
      <c r="C39" s="5" t="s">
        <v>26</v>
      </c>
      <c r="D39" s="1" t="n">
        <v>103750</v>
      </c>
      <c r="E39" s="6" t="n">
        <v>6773</v>
      </c>
      <c r="F39" s="7" t="s">
        <v>21</v>
      </c>
      <c r="G39" s="7" t="s">
        <v>158</v>
      </c>
      <c r="H39" s="7" t="s">
        <v>65</v>
      </c>
      <c r="I39" s="7" t="s">
        <v>55</v>
      </c>
      <c r="J39" s="8" t="str">
        <f aca="false">IF(D39&lt;=Mapeamento!$E$2,"Até US$ 100 mil",IF(D39&lt;=Mapeamento!$E$3,"US$ 100–200 mil","Acima de US$ 200 mil"))</f>
        <v>US$ 100–200 mil</v>
      </c>
      <c r="K39" s="8" t="str">
        <f aca="false">IFERROR(INDEX(Mapeamento!$B$3:$B$12,MATCH(I39,Mapeamento!$A$3:$A$12,0)),"NÃO MAPEADO")</f>
        <v>Em aprovação</v>
      </c>
    </row>
    <row r="40" customFormat="false" ht="15" hidden="false" customHeight="false" outlineLevel="0" collapsed="false">
      <c r="A40" s="0" t="s">
        <v>11</v>
      </c>
      <c r="B40" s="0" t="s">
        <v>63</v>
      </c>
      <c r="C40" s="5" t="s">
        <v>20</v>
      </c>
      <c r="D40" s="1" t="n">
        <v>93600</v>
      </c>
      <c r="E40" s="6" t="n">
        <v>5800</v>
      </c>
      <c r="F40" s="7" t="s">
        <v>27</v>
      </c>
      <c r="G40" s="7" t="s">
        <v>159</v>
      </c>
      <c r="H40" s="7" t="s">
        <v>41</v>
      </c>
      <c r="I40" s="7" t="s">
        <v>61</v>
      </c>
      <c r="J40" s="8" t="str">
        <f aca="false">IF(D40&lt;=Mapeamento!$E$2,"Até US$ 100 mil",IF(D40&lt;=Mapeamento!$E$3,"US$ 100–200 mil","Acima de US$ 200 mil"))</f>
        <v>Até US$ 100 mil</v>
      </c>
      <c r="K40" s="8" t="str">
        <f aca="false">IFERROR(INDEX(Mapeamento!$B$3:$B$12,MATCH(I40,Mapeamento!$A$3:$A$12,0)),"NÃO MAPEADO")</f>
        <v>Em logística</v>
      </c>
    </row>
    <row r="41" customFormat="false" ht="15" hidden="false" customHeight="false" outlineLevel="0" collapsed="false">
      <c r="A41" s="0" t="s">
        <v>160</v>
      </c>
      <c r="B41" s="0" t="s">
        <v>38</v>
      </c>
      <c r="C41" s="5" t="s">
        <v>108</v>
      </c>
      <c r="D41" s="1" t="n">
        <v>129000</v>
      </c>
      <c r="E41" s="6" t="n">
        <v>0</v>
      </c>
      <c r="F41" s="7" t="s">
        <v>68</v>
      </c>
      <c r="G41" s="7" t="s">
        <v>161</v>
      </c>
      <c r="H41" s="7" t="s">
        <v>162</v>
      </c>
      <c r="I41" s="7" t="s">
        <v>30</v>
      </c>
      <c r="J41" s="8" t="str">
        <f aca="false">IF(D41&lt;=Mapeamento!$E$2,"Até US$ 100 mil",IF(D41&lt;=Mapeamento!$E$3,"US$ 100–200 mil","Acima de US$ 200 mil"))</f>
        <v>US$ 100–200 mil</v>
      </c>
      <c r="K41" s="8" t="str">
        <f aca="false">IFERROR(INDEX(Mapeamento!$B$3:$B$12,MATCH(I41,Mapeamento!$A$3:$A$12,0)),"NÃO MAPEADO")</f>
        <v>Em logística</v>
      </c>
    </row>
    <row r="42" customFormat="false" ht="15" hidden="false" customHeight="false" outlineLevel="0" collapsed="false">
      <c r="A42" s="0" t="s">
        <v>163</v>
      </c>
      <c r="B42" s="0" t="s">
        <v>164</v>
      </c>
      <c r="C42" s="5" t="s">
        <v>13</v>
      </c>
      <c r="D42" s="1" t="n">
        <v>136000</v>
      </c>
      <c r="E42" s="6" t="n">
        <v>18400</v>
      </c>
      <c r="F42" s="7" t="s">
        <v>14</v>
      </c>
      <c r="G42" s="7" t="s">
        <v>165</v>
      </c>
      <c r="H42" s="7" t="s">
        <v>35</v>
      </c>
      <c r="I42" s="7" t="s">
        <v>17</v>
      </c>
      <c r="J42" s="8" t="str">
        <f aca="false">IF(D42&lt;=Mapeamento!$E$2,"Até US$ 100 mil",IF(D42&lt;=Mapeamento!$E$3,"US$ 100–200 mil","Acima de US$ 200 mil"))</f>
        <v>US$ 100–200 mil</v>
      </c>
      <c r="K42" s="8" t="str">
        <f aca="false">IFERROR(INDEX(Mapeamento!$B$3:$B$12,MATCH(I42,Mapeamento!$A$3:$A$12,0)),"NÃO MAPEADO")</f>
        <v>Concluído</v>
      </c>
    </row>
    <row r="43" customFormat="false" ht="15" hidden="false" customHeight="false" outlineLevel="0" collapsed="false">
      <c r="A43" s="0" t="s">
        <v>11</v>
      </c>
      <c r="B43" s="0" t="s">
        <v>166</v>
      </c>
      <c r="C43" s="5" t="s">
        <v>20</v>
      </c>
      <c r="D43" s="1" t="n">
        <v>286500</v>
      </c>
      <c r="E43" s="6" t="n">
        <v>700</v>
      </c>
      <c r="F43" s="7" t="s">
        <v>21</v>
      </c>
      <c r="G43" s="7" t="s">
        <v>167</v>
      </c>
      <c r="H43" s="7" t="s">
        <v>29</v>
      </c>
      <c r="I43" s="7" t="s">
        <v>36</v>
      </c>
      <c r="J43" s="8" t="str">
        <f aca="false">IF(D43&lt;=Mapeamento!$E$2,"Até US$ 100 mil",IF(D43&lt;=Mapeamento!$E$3,"US$ 100–200 mil","Acima de US$ 200 mil"))</f>
        <v>Acima de US$ 200 mil</v>
      </c>
      <c r="K43" s="8" t="str">
        <f aca="false">IFERROR(INDEX(Mapeamento!$B$3:$B$12,MATCH(I43,Mapeamento!$A$3:$A$12,0)),"NÃO MAPEADO")</f>
        <v>Em aprovação</v>
      </c>
    </row>
    <row r="44" customFormat="false" ht="15" hidden="false" customHeight="false" outlineLevel="0" collapsed="false">
      <c r="A44" s="0" t="s">
        <v>168</v>
      </c>
      <c r="B44" s="0" t="s">
        <v>53</v>
      </c>
      <c r="C44" s="5" t="s">
        <v>26</v>
      </c>
      <c r="D44" s="1" t="n">
        <v>92800</v>
      </c>
      <c r="E44" s="6" t="n">
        <v>15000</v>
      </c>
      <c r="F44" s="7" t="s">
        <v>50</v>
      </c>
      <c r="G44" s="7" t="s">
        <v>169</v>
      </c>
      <c r="H44" s="7" t="s">
        <v>41</v>
      </c>
      <c r="I44" s="7" t="s">
        <v>17</v>
      </c>
      <c r="J44" s="8" t="str">
        <f aca="false">IF(D44&lt;=Mapeamento!$E$2,"Até US$ 100 mil",IF(D44&lt;=Mapeamento!$E$3,"US$ 100–200 mil","Acima de US$ 200 mil"))</f>
        <v>Até US$ 100 mil</v>
      </c>
      <c r="K44" s="8" t="str">
        <f aca="false">IFERROR(INDEX(Mapeamento!$B$3:$B$12,MATCH(I44,Mapeamento!$A$3:$A$12,0)),"NÃO MAPEADO")</f>
        <v>Concluído</v>
      </c>
    </row>
    <row r="45" customFormat="false" ht="15" hidden="false" customHeight="false" outlineLevel="0" collapsed="false">
      <c r="A45" s="0" t="s">
        <v>170</v>
      </c>
      <c r="B45" s="0" t="s">
        <v>132</v>
      </c>
      <c r="C45" s="5" t="s">
        <v>13</v>
      </c>
      <c r="D45" s="1" t="n">
        <v>72400</v>
      </c>
      <c r="E45" s="6" t="n">
        <v>19750</v>
      </c>
      <c r="F45" s="7" t="s">
        <v>33</v>
      </c>
      <c r="G45" s="7" t="s">
        <v>171</v>
      </c>
      <c r="H45" s="7" t="s">
        <v>65</v>
      </c>
      <c r="I45" s="7" t="s">
        <v>113</v>
      </c>
      <c r="J45" s="8" t="str">
        <f aca="false">IF(D45&lt;=Mapeamento!$E$2,"Até US$ 100 mil",IF(D45&lt;=Mapeamento!$E$3,"US$ 100–200 mil","Acima de US$ 200 mil"))</f>
        <v>Até US$ 100 mil</v>
      </c>
      <c r="K45" s="8" t="str">
        <f aca="false">IFERROR(INDEX(Mapeamento!$B$3:$B$12,MATCH(I45,Mapeamento!$A$3:$A$12,0)),"NÃO MAPEADO")</f>
        <v>Em logística</v>
      </c>
    </row>
    <row r="46" customFormat="false" ht="15" hidden="false" customHeight="false" outlineLevel="0" collapsed="false">
      <c r="A46" s="0" t="s">
        <v>172</v>
      </c>
      <c r="B46" s="0" t="s">
        <v>67</v>
      </c>
      <c r="C46" s="5" t="s">
        <v>108</v>
      </c>
      <c r="D46" s="1" t="n">
        <v>158500</v>
      </c>
      <c r="E46" s="6" t="n">
        <v>3200</v>
      </c>
      <c r="F46" s="7" t="s">
        <v>78</v>
      </c>
      <c r="G46" s="7" t="s">
        <v>83</v>
      </c>
      <c r="H46" s="7" t="s">
        <v>84</v>
      </c>
      <c r="I46" s="7" t="s">
        <v>17</v>
      </c>
      <c r="J46" s="8" t="str">
        <f aca="false">IF(D46&lt;=Mapeamento!$E$2,"Até US$ 100 mil",IF(D46&lt;=Mapeamento!$E$3,"US$ 100–200 mil","Acima de US$ 200 mil"))</f>
        <v>US$ 100–200 mil</v>
      </c>
      <c r="K46" s="8" t="str">
        <f aca="false">IFERROR(INDEX(Mapeamento!$B$3:$B$12,MATCH(I46,Mapeamento!$A$3:$A$12,0)),"NÃO MAPEADO")</f>
        <v>Concluído</v>
      </c>
    </row>
    <row r="47" customFormat="false" ht="15" hidden="false" customHeight="false" outlineLevel="0" collapsed="false">
      <c r="A47" s="0" t="s">
        <v>173</v>
      </c>
      <c r="B47" s="0" t="s">
        <v>12</v>
      </c>
      <c r="C47" s="5" t="s">
        <v>32</v>
      </c>
      <c r="D47" s="1" t="n">
        <v>69900</v>
      </c>
      <c r="E47" s="6" t="n">
        <v>27600</v>
      </c>
      <c r="F47" s="7" t="s">
        <v>39</v>
      </c>
      <c r="G47" s="7" t="s">
        <v>174</v>
      </c>
      <c r="H47" s="7" t="s">
        <v>41</v>
      </c>
      <c r="I47" s="7" t="s">
        <v>36</v>
      </c>
      <c r="J47" s="8" t="str">
        <f aca="false">IF(D47&lt;=Mapeamento!$E$2,"Até US$ 100 mil",IF(D47&lt;=Mapeamento!$E$3,"US$ 100–200 mil","Acima de US$ 200 mil"))</f>
        <v>Até US$ 100 mil</v>
      </c>
      <c r="K47" s="8" t="str">
        <f aca="false">IFERROR(INDEX(Mapeamento!$B$3:$B$12,MATCH(I47,Mapeamento!$A$3:$A$12,0)),"NÃO MAPEADO")</f>
        <v>Em aprovação</v>
      </c>
    </row>
    <row r="48" customFormat="false" ht="15" hidden="false" customHeight="false" outlineLevel="0" collapsed="false">
      <c r="A48" s="0" t="s">
        <v>11</v>
      </c>
      <c r="B48" s="0" t="s">
        <v>175</v>
      </c>
      <c r="C48" s="5" t="s">
        <v>20</v>
      </c>
      <c r="D48" s="1" t="n">
        <v>141250</v>
      </c>
      <c r="E48" s="6" t="n">
        <v>2100</v>
      </c>
      <c r="F48" s="7" t="s">
        <v>27</v>
      </c>
      <c r="G48" s="7" t="s">
        <v>176</v>
      </c>
      <c r="H48" s="7" t="s">
        <v>41</v>
      </c>
      <c r="I48" s="7" t="s">
        <v>30</v>
      </c>
      <c r="J48" s="8" t="str">
        <f aca="false">IF(D48&lt;=Mapeamento!$E$2,"Até US$ 100 mil",IF(D48&lt;=Mapeamento!$E$3,"US$ 100–200 mil","Acima de US$ 200 mil"))</f>
        <v>US$ 100–200 mil</v>
      </c>
      <c r="K48" s="8" t="str">
        <f aca="false">IFERROR(INDEX(Mapeamento!$B$3:$B$12,MATCH(I48,Mapeamento!$A$3:$A$12,0)),"NÃO MAPEADO")</f>
        <v>Em logística</v>
      </c>
    </row>
    <row r="49" customFormat="false" ht="15" hidden="false" customHeight="false" outlineLevel="0" collapsed="false">
      <c r="A49" s="0" t="s">
        <v>177</v>
      </c>
      <c r="B49" s="0" t="s">
        <v>103</v>
      </c>
      <c r="C49" s="5" t="s">
        <v>49</v>
      </c>
      <c r="D49" s="1" t="n">
        <v>71500</v>
      </c>
      <c r="E49" s="6" t="n">
        <v>52000</v>
      </c>
      <c r="F49" s="7" t="s">
        <v>21</v>
      </c>
      <c r="G49" s="7" t="s">
        <v>178</v>
      </c>
      <c r="H49" s="7" t="s">
        <v>179</v>
      </c>
      <c r="I49" s="7" t="s">
        <v>17</v>
      </c>
      <c r="J49" s="8" t="str">
        <f aca="false">IF(D49&lt;=Mapeamento!$E$2,"Até US$ 100 mil",IF(D49&lt;=Mapeamento!$E$3,"US$ 100–200 mil","Acima de US$ 200 mil"))</f>
        <v>Até US$ 100 mil</v>
      </c>
      <c r="K49" s="8" t="str">
        <f aca="false">IFERROR(INDEX(Mapeamento!$B$3:$B$12,MATCH(I49,Mapeamento!$A$3:$A$12,0)),"NÃO MAPEADO")</f>
        <v>Concluído</v>
      </c>
    </row>
    <row r="50" customFormat="false" ht="15" hidden="false" customHeight="false" outlineLevel="0" collapsed="false">
      <c r="A50" s="0" t="s">
        <v>180</v>
      </c>
      <c r="B50" s="0" t="s">
        <v>181</v>
      </c>
      <c r="C50" s="5" t="s">
        <v>26</v>
      </c>
      <c r="D50" s="1" t="n">
        <v>146800</v>
      </c>
      <c r="E50" s="6" t="n">
        <v>11300</v>
      </c>
      <c r="F50" s="7" t="s">
        <v>14</v>
      </c>
      <c r="G50" s="7" t="s">
        <v>182</v>
      </c>
      <c r="H50" s="7" t="s">
        <v>183</v>
      </c>
      <c r="I50" s="7" t="s">
        <v>36</v>
      </c>
      <c r="J50" s="8" t="str">
        <f aca="false">IF(D50&lt;=Mapeamento!$E$2,"Até US$ 100 mil",IF(D50&lt;=Mapeamento!$E$3,"US$ 100–200 mil","Acima de US$ 200 mil"))</f>
        <v>US$ 100–200 mil</v>
      </c>
      <c r="K50" s="8" t="str">
        <f aca="false">IFERROR(INDEX(Mapeamento!$B$3:$B$12,MATCH(I50,Mapeamento!$A$3:$A$12,0)),"NÃO MAPEADO")</f>
        <v>Em aprovação</v>
      </c>
    </row>
    <row r="51" customFormat="false" ht="15" hidden="false" customHeight="false" outlineLevel="0" collapsed="false">
      <c r="A51" s="0" t="s">
        <v>184</v>
      </c>
      <c r="B51" s="0" t="s">
        <v>107</v>
      </c>
      <c r="C51" s="5" t="s">
        <v>108</v>
      </c>
      <c r="D51" s="1" t="n">
        <v>89700</v>
      </c>
      <c r="E51" s="6" t="n">
        <v>0</v>
      </c>
      <c r="F51" s="7" t="s">
        <v>50</v>
      </c>
      <c r="G51" s="7" t="s">
        <v>185</v>
      </c>
      <c r="H51" s="7" t="s">
        <v>186</v>
      </c>
      <c r="I51" s="7" t="s">
        <v>17</v>
      </c>
      <c r="J51" s="8" t="str">
        <f aca="false">IF(D51&lt;=Mapeamento!$E$2,"Até US$ 100 mil",IF(D51&lt;=Mapeamento!$E$3,"US$ 100–200 mil","Acima de US$ 200 mil"))</f>
        <v>Até US$ 100 mil</v>
      </c>
      <c r="K51" s="8" t="str">
        <f aca="false">IFERROR(INDEX(Mapeamento!$B$3:$B$12,MATCH(I51,Mapeamento!$A$3:$A$12,0)),"NÃO MAPEADO")</f>
        <v>Concluído</v>
      </c>
    </row>
    <row r="52" customFormat="false" ht="15" hidden="false" customHeight="false" outlineLevel="0" collapsed="false">
      <c r="A52" s="0" t="s">
        <v>187</v>
      </c>
      <c r="B52" s="0" t="s">
        <v>48</v>
      </c>
      <c r="C52" s="5" t="s">
        <v>13</v>
      </c>
      <c r="D52" s="1" t="n">
        <v>104600</v>
      </c>
      <c r="E52" s="6" t="n">
        <v>15900</v>
      </c>
      <c r="F52" s="7" t="s">
        <v>39</v>
      </c>
      <c r="G52" s="7" t="s">
        <v>188</v>
      </c>
      <c r="H52" s="7" t="s">
        <v>189</v>
      </c>
      <c r="I52" s="7" t="s">
        <v>46</v>
      </c>
      <c r="J52" s="8" t="str">
        <f aca="false">IF(D52&lt;=Mapeamento!$E$2,"Até US$ 100 mil",IF(D52&lt;=Mapeamento!$E$3,"US$ 100–200 mil","Acima de US$ 200 mil"))</f>
        <v>US$ 100–200 mil</v>
      </c>
      <c r="K52" s="8" t="str">
        <f aca="false">IFERROR(INDEX(Mapeamento!$B$3:$B$12,MATCH(I52,Mapeamento!$A$3:$A$12,0)),"NÃO MAPEADO")</f>
        <v>Cancelado</v>
      </c>
    </row>
    <row r="53" customFormat="false" ht="15" hidden="false" customHeight="false" outlineLevel="0" collapsed="false">
      <c r="A53" s="0" t="s">
        <v>11</v>
      </c>
      <c r="B53" s="0" t="s">
        <v>115</v>
      </c>
      <c r="C53" s="5" t="s">
        <v>20</v>
      </c>
      <c r="D53" s="1" t="n">
        <v>142000</v>
      </c>
      <c r="E53" s="6" t="n">
        <v>6600</v>
      </c>
      <c r="F53" s="7" t="s">
        <v>21</v>
      </c>
      <c r="G53" s="7" t="s">
        <v>190</v>
      </c>
      <c r="H53" s="7" t="s">
        <v>41</v>
      </c>
      <c r="I53" s="7" t="s">
        <v>17</v>
      </c>
      <c r="J53" s="8" t="str">
        <f aca="false">IF(D53&lt;=Mapeamento!$E$2,"Até US$ 100 mil",IF(D53&lt;=Mapeamento!$E$3,"US$ 100–200 mil","Acima de US$ 200 mil"))</f>
        <v>US$ 100–200 mil</v>
      </c>
      <c r="K53" s="8" t="str">
        <f aca="false">IFERROR(INDEX(Mapeamento!$B$3:$B$12,MATCH(I53,Mapeamento!$A$3:$A$12,0)),"NÃO MAPEADO")</f>
        <v>Concluído</v>
      </c>
    </row>
    <row r="54" customFormat="false" ht="15" hidden="false" customHeight="false" outlineLevel="0" collapsed="false">
      <c r="A54" s="0" t="s">
        <v>191</v>
      </c>
      <c r="B54" s="0" t="s">
        <v>118</v>
      </c>
      <c r="C54" s="5" t="s">
        <v>32</v>
      </c>
      <c r="D54" s="1" t="n">
        <v>78400</v>
      </c>
      <c r="E54" s="6" t="n">
        <v>40250</v>
      </c>
      <c r="F54" s="7" t="s">
        <v>33</v>
      </c>
      <c r="G54" s="7" t="s">
        <v>192</v>
      </c>
      <c r="H54" s="7" t="s">
        <v>72</v>
      </c>
      <c r="I54" s="7" t="s">
        <v>193</v>
      </c>
      <c r="J54" s="8" t="str">
        <f aca="false">IF(D54&lt;=Mapeamento!$E$2,"Até US$ 100 mil",IF(D54&lt;=Mapeamento!$E$3,"US$ 100–200 mil","Acima de US$ 200 mil"))</f>
        <v>Até US$ 100 mil</v>
      </c>
      <c r="K54" s="8" t="str">
        <f aca="false">IFERROR(INDEX(Mapeamento!$B$3:$B$12,MATCH(I54,Mapeamento!$A$3:$A$12,0)),"NÃO MAPEADO")</f>
        <v>Em aprovação</v>
      </c>
    </row>
    <row r="55" customFormat="false" ht="15" hidden="false" customHeight="false" outlineLevel="0" collapsed="false">
      <c r="A55" s="0" t="s">
        <v>11</v>
      </c>
      <c r="B55" s="0" t="s">
        <v>88</v>
      </c>
      <c r="C55" s="5" t="s">
        <v>108</v>
      </c>
      <c r="D55" s="1" t="n">
        <v>169000</v>
      </c>
      <c r="E55" s="6" t="n">
        <v>850</v>
      </c>
      <c r="F55" s="7" t="s">
        <v>27</v>
      </c>
      <c r="G55" s="7" t="s">
        <v>194</v>
      </c>
      <c r="H55" s="7" t="s">
        <v>195</v>
      </c>
      <c r="I55" s="7" t="s">
        <v>30</v>
      </c>
      <c r="J55" s="8" t="str">
        <f aca="false">IF(D55&lt;=Mapeamento!$E$2,"Até US$ 100 mil",IF(D55&lt;=Mapeamento!$E$3,"US$ 100–200 mil","Acima de US$ 200 mil"))</f>
        <v>US$ 100–200 mil</v>
      </c>
      <c r="K55" s="8" t="str">
        <f aca="false">IFERROR(INDEX(Mapeamento!$B$3:$B$12,MATCH(I55,Mapeamento!$A$3:$A$12,0)),"NÃO MAPEADO")</f>
        <v>Em logística</v>
      </c>
    </row>
    <row r="56" customFormat="false" ht="15" hidden="false" customHeight="false" outlineLevel="0" collapsed="false">
      <c r="A56" s="0" t="s">
        <v>196</v>
      </c>
      <c r="B56" s="0" t="s">
        <v>110</v>
      </c>
      <c r="C56" s="5" t="s">
        <v>20</v>
      </c>
      <c r="D56" s="1" t="n">
        <v>268900</v>
      </c>
      <c r="E56" s="6" t="n">
        <v>1400</v>
      </c>
      <c r="F56" s="7" t="s">
        <v>14</v>
      </c>
      <c r="G56" s="7" t="s">
        <v>197</v>
      </c>
      <c r="H56" s="7" t="s">
        <v>41</v>
      </c>
      <c r="I56" s="7" t="s">
        <v>17</v>
      </c>
      <c r="J56" s="8" t="str">
        <f aca="false">IF(D56&lt;=Mapeamento!$E$2,"Até US$ 100 mil",IF(D56&lt;=Mapeamento!$E$3,"US$ 100–200 mil","Acima de US$ 200 mil"))</f>
        <v>Acima de US$ 200 mil</v>
      </c>
      <c r="K56" s="8" t="str">
        <f aca="false">IFERROR(INDEX(Mapeamento!$B$3:$B$12,MATCH(I56,Mapeamento!$A$3:$A$12,0)),"NÃO MAPEADO")</f>
        <v>Concluído</v>
      </c>
    </row>
    <row r="57" customFormat="false" ht="15" hidden="false" customHeight="false" outlineLevel="0" collapsed="false">
      <c r="A57" s="0" t="s">
        <v>198</v>
      </c>
      <c r="B57" s="0" t="s">
        <v>43</v>
      </c>
      <c r="C57" s="5" t="s">
        <v>26</v>
      </c>
      <c r="D57" s="1" t="n">
        <v>101300</v>
      </c>
      <c r="E57" s="6" t="n">
        <v>12700</v>
      </c>
      <c r="F57" s="7" t="s">
        <v>21</v>
      </c>
      <c r="G57" s="7" t="s">
        <v>199</v>
      </c>
      <c r="H57" s="7" t="s">
        <v>29</v>
      </c>
      <c r="I57" s="7" t="s">
        <v>36</v>
      </c>
      <c r="J57" s="8" t="str">
        <f aca="false">IF(D57&lt;=Mapeamento!$E$2,"Até US$ 100 mil",IF(D57&lt;=Mapeamento!$E$3,"US$ 100–200 mil","Acima de US$ 200 mil"))</f>
        <v>US$ 100–200 mil</v>
      </c>
      <c r="K57" s="8" t="str">
        <f aca="false">IFERROR(INDEX(Mapeamento!$B$3:$B$12,MATCH(I57,Mapeamento!$A$3:$A$12,0)),"NÃO MAPEADO")</f>
        <v>Em aprovação</v>
      </c>
    </row>
    <row r="58" customFormat="false" ht="15" hidden="false" customHeight="false" outlineLevel="0" collapsed="false">
      <c r="A58" s="0" t="s">
        <v>200</v>
      </c>
      <c r="B58" s="0" t="s">
        <v>31</v>
      </c>
      <c r="C58" s="5" t="s">
        <v>32</v>
      </c>
      <c r="D58" s="1" t="n">
        <v>66750</v>
      </c>
      <c r="E58" s="6" t="n">
        <v>29800</v>
      </c>
      <c r="F58" s="7" t="s">
        <v>33</v>
      </c>
      <c r="G58" s="7" t="s">
        <v>201</v>
      </c>
      <c r="H58" s="7" t="s">
        <v>150</v>
      </c>
      <c r="I58" s="7" t="s">
        <v>17</v>
      </c>
      <c r="J58" s="8" t="str">
        <f aca="false">IF(D58&lt;=Mapeamento!$E$2,"Até US$ 100 mil",IF(D58&lt;=Mapeamento!$E$3,"US$ 100–200 mil","Acima de US$ 200 mil"))</f>
        <v>Até US$ 100 mil</v>
      </c>
      <c r="K58" s="8" t="str">
        <f aca="false">IFERROR(INDEX(Mapeamento!$B$3:$B$12,MATCH(I58,Mapeamento!$A$3:$A$12,0)),"NÃO MAPEADO")</f>
        <v>Concluído</v>
      </c>
    </row>
    <row r="59" customFormat="false" ht="15" hidden="false" customHeight="false" outlineLevel="0" collapsed="false">
      <c r="A59" s="0" t="s">
        <v>202</v>
      </c>
      <c r="B59" s="0" t="s">
        <v>92</v>
      </c>
      <c r="C59" s="5" t="s">
        <v>20</v>
      </c>
      <c r="D59" s="1" t="n">
        <v>127900</v>
      </c>
      <c r="E59" s="6" t="n">
        <v>7500</v>
      </c>
      <c r="F59" s="7" t="s">
        <v>50</v>
      </c>
      <c r="G59" s="7" t="s">
        <v>203</v>
      </c>
      <c r="H59" s="7" t="s">
        <v>105</v>
      </c>
      <c r="I59" s="7" t="s">
        <v>30</v>
      </c>
      <c r="J59" s="8" t="str">
        <f aca="false">IF(D59&lt;=Mapeamento!$E$2,"Até US$ 100 mil",IF(D59&lt;=Mapeamento!$E$3,"US$ 100–200 mil","Acima de US$ 200 mil"))</f>
        <v>US$ 100–200 mil</v>
      </c>
      <c r="K59" s="8" t="str">
        <f aca="false">IFERROR(INDEX(Mapeamento!$B$3:$B$12,MATCH(I59,Mapeamento!$A$3:$A$12,0)),"NÃO MAPEADO")</f>
        <v>Em logística</v>
      </c>
    </row>
    <row r="60" customFormat="false" ht="15" hidden="false" customHeight="false" outlineLevel="0" collapsed="false">
      <c r="A60" s="0" t="s">
        <v>204</v>
      </c>
      <c r="B60" s="0" t="s">
        <v>77</v>
      </c>
      <c r="C60" s="5" t="s">
        <v>108</v>
      </c>
      <c r="D60" s="1" t="n">
        <v>200000</v>
      </c>
      <c r="E60" s="6" t="n">
        <v>1950</v>
      </c>
      <c r="F60" s="7" t="s">
        <v>21</v>
      </c>
      <c r="G60" s="7" t="s">
        <v>205</v>
      </c>
      <c r="H60" s="7" t="s">
        <v>123</v>
      </c>
      <c r="I60" s="7" t="s">
        <v>17</v>
      </c>
      <c r="J60" s="8" t="str">
        <f aca="false">IF(D60&lt;=Mapeamento!$E$2,"Até US$ 100 mil",IF(D60&lt;=Mapeamento!$E$3,"US$ 100–200 mil","Acima de US$ 200 mil"))</f>
        <v>US$ 100–200 mil</v>
      </c>
      <c r="K60" s="8" t="str">
        <f aca="false">IFERROR(INDEX(Mapeamento!$B$3:$B$12,MATCH(I60,Mapeamento!$A$3:$A$12,0)),"NÃO MAPEADO")</f>
        <v>Concluído</v>
      </c>
    </row>
    <row r="61" customFormat="false" ht="15" hidden="false" customHeight="false" outlineLevel="0" collapsed="false">
      <c r="A61" s="0" t="s">
        <v>206</v>
      </c>
      <c r="B61" s="0" t="s">
        <v>82</v>
      </c>
      <c r="C61" s="5" t="s">
        <v>26</v>
      </c>
      <c r="D61" s="1" t="n">
        <v>132000</v>
      </c>
      <c r="E61" s="6" t="n">
        <v>8800</v>
      </c>
      <c r="F61" s="7" t="s">
        <v>78</v>
      </c>
      <c r="G61" s="7" t="s">
        <v>207</v>
      </c>
      <c r="H61" s="7" t="s">
        <v>208</v>
      </c>
      <c r="I61" s="7" t="s">
        <v>136</v>
      </c>
      <c r="J61" s="8" t="str">
        <f aca="false">IF(D61&lt;=Mapeamento!$E$2,"Até US$ 100 mil",IF(D61&lt;=Mapeamento!$E$3,"US$ 100–200 mil","Acima de US$ 200 mil"))</f>
        <v>US$ 100–200 mil</v>
      </c>
      <c r="K61" s="8" t="str">
        <f aca="false">IFERROR(INDEX(Mapeamento!$B$3:$B$12,MATCH(I61,Mapeamento!$A$3:$A$12,0)),"NÃO MAPEADO")</f>
        <v>Em aprovação</v>
      </c>
    </row>
    <row r="62" customFormat="false" ht="15" hidden="false" customHeight="false" outlineLevel="0" collapsed="false">
      <c r="A62" s="0" t="s">
        <v>209</v>
      </c>
      <c r="B62" s="0" t="s">
        <v>121</v>
      </c>
      <c r="C62" s="5" t="s">
        <v>20</v>
      </c>
      <c r="D62" s="1" t="n">
        <v>176400</v>
      </c>
      <c r="E62" s="6" t="n">
        <v>600</v>
      </c>
      <c r="F62" s="7" t="s">
        <v>14</v>
      </c>
      <c r="G62" s="7" t="s">
        <v>210</v>
      </c>
      <c r="H62" s="7" t="s">
        <v>29</v>
      </c>
      <c r="I62" s="7" t="s">
        <v>17</v>
      </c>
      <c r="J62" s="8" t="str">
        <f aca="false">IF(D62&lt;=Mapeamento!$E$2,"Até US$ 100 mil",IF(D62&lt;=Mapeamento!$E$3,"US$ 100–200 mil","Acima de US$ 200 mil"))</f>
        <v>US$ 100–200 mil</v>
      </c>
      <c r="K62" s="8" t="str">
        <f aca="false">IFERROR(INDEX(Mapeamento!$B$3:$B$12,MATCH(I62,Mapeamento!$A$3:$A$12,0)),"NÃO MAPEADO")</f>
        <v>Concluído</v>
      </c>
    </row>
    <row r="63" customFormat="false" ht="15" hidden="false" customHeight="false" outlineLevel="0" collapsed="false">
      <c r="A63" s="0" t="s">
        <v>11</v>
      </c>
      <c r="B63" s="0" t="s">
        <v>129</v>
      </c>
      <c r="C63" s="5" t="s">
        <v>13</v>
      </c>
      <c r="D63" s="1" t="n">
        <v>108500</v>
      </c>
      <c r="E63" s="6" t="n">
        <v>16200</v>
      </c>
      <c r="F63" s="7" t="s">
        <v>39</v>
      </c>
      <c r="G63" s="7" t="s">
        <v>211</v>
      </c>
      <c r="H63" s="7" t="s">
        <v>212</v>
      </c>
      <c r="I63" s="7" t="s">
        <v>46</v>
      </c>
      <c r="J63" s="8" t="str">
        <f aca="false">IF(D63&lt;=Mapeamento!$E$2,"Até US$ 100 mil",IF(D63&lt;=Mapeamento!$E$3,"US$ 100–200 mil","Acima de US$ 200 mil"))</f>
        <v>US$ 100–200 mil</v>
      </c>
      <c r="K63" s="8" t="str">
        <f aca="false">IFERROR(INDEX(Mapeamento!$B$3:$B$12,MATCH(I63,Mapeamento!$A$3:$A$12,0)),"NÃO MAPEADO")</f>
        <v>Cancelado</v>
      </c>
    </row>
    <row r="64" customFormat="false" ht="15" hidden="false" customHeight="false" outlineLevel="0" collapsed="false">
      <c r="A64" s="0" t="s">
        <v>213</v>
      </c>
      <c r="B64" s="0" t="s">
        <v>86</v>
      </c>
      <c r="C64" s="5" t="s">
        <v>32</v>
      </c>
      <c r="D64" s="1" t="n">
        <v>59000</v>
      </c>
      <c r="E64" s="6" t="n">
        <v>36000</v>
      </c>
      <c r="F64" s="7" t="s">
        <v>27</v>
      </c>
      <c r="G64" s="7" t="s">
        <v>214</v>
      </c>
      <c r="H64" s="7" t="s">
        <v>94</v>
      </c>
      <c r="I64" s="7" t="s">
        <v>80</v>
      </c>
      <c r="J64" s="8" t="str">
        <f aca="false">IF(D64&lt;=Mapeamento!$E$2,"Até US$ 100 mil",IF(D64&lt;=Mapeamento!$E$3,"US$ 100–200 mil","Acima de US$ 200 mil"))</f>
        <v>Até US$ 100 mil</v>
      </c>
      <c r="K64" s="8" t="str">
        <f aca="false">IFERROR(INDEX(Mapeamento!$B$3:$B$12,MATCH(I64,Mapeamento!$A$3:$A$12,0)),"NÃO MAPEADO")</f>
        <v>Em logística</v>
      </c>
    </row>
    <row r="65" customFormat="false" ht="15" hidden="false" customHeight="false" outlineLevel="0" collapsed="false">
      <c r="A65" s="0" t="s">
        <v>215</v>
      </c>
      <c r="B65" s="0" t="s">
        <v>135</v>
      </c>
      <c r="C65" s="5" t="s">
        <v>108</v>
      </c>
      <c r="D65" s="1" t="n">
        <v>218000</v>
      </c>
      <c r="E65" s="6" t="n">
        <v>0</v>
      </c>
      <c r="F65" s="7" t="s">
        <v>21</v>
      </c>
      <c r="G65" s="7" t="s">
        <v>216</v>
      </c>
      <c r="H65" s="7" t="s">
        <v>153</v>
      </c>
      <c r="I65" s="7" t="s">
        <v>36</v>
      </c>
      <c r="J65" s="8" t="str">
        <f aca="false">IF(D65&lt;=Mapeamento!$E$2,"Até US$ 100 mil",IF(D65&lt;=Mapeamento!$E$3,"US$ 100–200 mil","Acima de US$ 200 mil"))</f>
        <v>Acima de US$ 200 mil</v>
      </c>
      <c r="K65" s="8" t="str">
        <f aca="false">IFERROR(INDEX(Mapeamento!$B$3:$B$12,MATCH(I65,Mapeamento!$A$3:$A$12,0)),"NÃO MAPEADO")</f>
        <v>Em aprovação</v>
      </c>
    </row>
    <row r="66" customFormat="false" ht="15" hidden="false" customHeight="false" outlineLevel="0" collapsed="false">
      <c r="A66" s="0" t="s">
        <v>11</v>
      </c>
      <c r="B66" s="0" t="s">
        <v>95</v>
      </c>
      <c r="C66" s="5" t="s">
        <v>20</v>
      </c>
      <c r="D66" s="1" t="n">
        <v>99950</v>
      </c>
      <c r="E66" s="6" t="n">
        <v>5300</v>
      </c>
      <c r="F66" s="7" t="s">
        <v>58</v>
      </c>
      <c r="G66" s="7" t="s">
        <v>217</v>
      </c>
      <c r="H66" s="7" t="s">
        <v>212</v>
      </c>
      <c r="I66" s="7" t="s">
        <v>17</v>
      </c>
      <c r="J66" s="8" t="str">
        <f aca="false">IF(D66&lt;=Mapeamento!$E$2,"Até US$ 100 mil",IF(D66&lt;=Mapeamento!$E$3,"US$ 100–200 mil","Acima de US$ 200 mil"))</f>
        <v>Até US$ 100 mil</v>
      </c>
      <c r="K66" s="8" t="str">
        <f aca="false">IFERROR(INDEX(Mapeamento!$B$3:$B$12,MATCH(I66,Mapeamento!$A$3:$A$12,0)),"NÃO MAPEADO")</f>
        <v>Concluído</v>
      </c>
    </row>
    <row r="67" customFormat="false" ht="15" hidden="false" customHeight="false" outlineLevel="0" collapsed="false">
      <c r="A67" s="0" t="s">
        <v>191</v>
      </c>
      <c r="B67" s="0" t="s">
        <v>125</v>
      </c>
      <c r="C67" s="5" t="s">
        <v>20</v>
      </c>
      <c r="D67" s="1" t="n">
        <v>121750</v>
      </c>
      <c r="E67" s="6" t="n">
        <v>5872</v>
      </c>
      <c r="F67" s="7" t="s">
        <v>14</v>
      </c>
      <c r="G67" s="7" t="s">
        <v>218</v>
      </c>
      <c r="H67" s="7" t="s">
        <v>65</v>
      </c>
      <c r="I67" s="7" t="s">
        <v>17</v>
      </c>
      <c r="J67" s="8" t="str">
        <f aca="false">IF(D67&lt;=Mapeamento!$E$2,"Até US$ 100 mil",IF(D67&lt;=Mapeamento!$E$3,"US$ 100–200 mil","Acima de US$ 200 mil"))</f>
        <v>US$ 100–200 mil</v>
      </c>
      <c r="K67" s="8" t="str">
        <f aca="false">IFERROR(INDEX(Mapeamento!$B$3:$B$12,MATCH(I67,Mapeamento!$A$3:$A$12,0)),"NÃO MAPEADO")</f>
        <v>Concluído</v>
      </c>
    </row>
    <row r="68" customFormat="false" ht="15" hidden="false" customHeight="false" outlineLevel="0" collapsed="false">
      <c r="A68" s="0" t="s">
        <v>219</v>
      </c>
      <c r="B68" s="0" t="s">
        <v>220</v>
      </c>
      <c r="C68" s="5" t="s">
        <v>26</v>
      </c>
      <c r="D68" s="1" t="n">
        <v>91500</v>
      </c>
      <c r="E68" s="6" t="n">
        <v>13300</v>
      </c>
      <c r="F68" s="7" t="s">
        <v>50</v>
      </c>
      <c r="G68" s="7" t="s">
        <v>221</v>
      </c>
      <c r="H68" s="7" t="s">
        <v>72</v>
      </c>
      <c r="I68" s="7" t="s">
        <v>61</v>
      </c>
      <c r="J68" s="8" t="str">
        <f aca="false">IF(D68&lt;=Mapeamento!$E$2,"Até US$ 100 mil",IF(D68&lt;=Mapeamento!$E$3,"US$ 100–200 mil","Acima de US$ 200 mil"))</f>
        <v>Até US$ 100 mil</v>
      </c>
      <c r="K68" s="8" t="str">
        <f aca="false">IFERROR(INDEX(Mapeamento!$B$3:$B$12,MATCH(I68,Mapeamento!$A$3:$A$12,0)),"NÃO MAPEADO")</f>
        <v>Em logística</v>
      </c>
    </row>
    <row r="69" customFormat="false" ht="15" hidden="false" customHeight="false" outlineLevel="0" collapsed="false">
      <c r="A69" s="0" t="s">
        <v>222</v>
      </c>
      <c r="B69" s="0" t="s">
        <v>74</v>
      </c>
      <c r="C69" s="5" t="s">
        <v>13</v>
      </c>
      <c r="D69" s="1" t="n">
        <v>134000</v>
      </c>
      <c r="E69" s="6" t="n">
        <v>20100</v>
      </c>
      <c r="F69" s="7" t="s">
        <v>21</v>
      </c>
      <c r="G69" s="7" t="s">
        <v>223</v>
      </c>
      <c r="H69" s="7" t="s">
        <v>52</v>
      </c>
      <c r="I69" s="7" t="s">
        <v>30</v>
      </c>
      <c r="J69" s="8" t="str">
        <f aca="false">IF(D69&lt;=Mapeamento!$E$2,"Até US$ 100 mil",IF(D69&lt;=Mapeamento!$E$3,"US$ 100–200 mil","Acima de US$ 200 mil"))</f>
        <v>US$ 100–200 mil</v>
      </c>
      <c r="K69" s="8" t="str">
        <f aca="false">IFERROR(INDEX(Mapeamento!$B$3:$B$12,MATCH(I69,Mapeamento!$A$3:$A$12,0)),"NÃO MAPEADO")</f>
        <v>Em logística</v>
      </c>
    </row>
    <row r="70" customFormat="false" ht="15" hidden="false" customHeight="false" outlineLevel="0" collapsed="false">
      <c r="A70" s="0" t="s">
        <v>224</v>
      </c>
      <c r="B70" s="0" t="s">
        <v>63</v>
      </c>
      <c r="C70" s="5" t="s">
        <v>20</v>
      </c>
      <c r="D70" s="1" t="n">
        <v>96800</v>
      </c>
      <c r="E70" s="6" t="n">
        <v>0</v>
      </c>
      <c r="F70" s="7" t="s">
        <v>68</v>
      </c>
      <c r="G70" s="7" t="s">
        <v>225</v>
      </c>
      <c r="H70" s="7" t="s">
        <v>94</v>
      </c>
      <c r="I70" s="7" t="s">
        <v>17</v>
      </c>
      <c r="J70" s="8" t="str">
        <f aca="false">IF(D70&lt;=Mapeamento!$E$2,"Até US$ 100 mil",IF(D70&lt;=Mapeamento!$E$3,"US$ 100–200 mil","Acima de US$ 200 mil"))</f>
        <v>Até US$ 100 mil</v>
      </c>
      <c r="K70" s="8" t="str">
        <f aca="false">IFERROR(INDEX(Mapeamento!$B$3:$B$12,MATCH(I70,Mapeamento!$A$3:$A$12,0)),"NÃO MAPEADO")</f>
        <v>Concluído</v>
      </c>
    </row>
    <row r="71" customFormat="false" ht="15" hidden="false" customHeight="false" outlineLevel="0" collapsed="false">
      <c r="A71" s="0" t="s">
        <v>226</v>
      </c>
      <c r="B71" s="0" t="s">
        <v>38</v>
      </c>
      <c r="C71" s="5" t="s">
        <v>108</v>
      </c>
      <c r="D71" s="1" t="n">
        <v>131600</v>
      </c>
      <c r="E71" s="6" t="n">
        <v>2900</v>
      </c>
      <c r="F71" s="7" t="s">
        <v>21</v>
      </c>
      <c r="G71" s="7" t="s">
        <v>227</v>
      </c>
      <c r="H71" s="7" t="s">
        <v>29</v>
      </c>
      <c r="I71" s="7" t="s">
        <v>55</v>
      </c>
      <c r="J71" s="8" t="str">
        <f aca="false">IF(D71&lt;=Mapeamento!$E$2,"Até US$ 100 mil",IF(D71&lt;=Mapeamento!$E$3,"US$ 100–200 mil","Acima de US$ 200 mil"))</f>
        <v>US$ 100–200 mil</v>
      </c>
      <c r="K71" s="8" t="str">
        <f aca="false">IFERROR(INDEX(Mapeamento!$B$3:$B$12,MATCH(I71,Mapeamento!$A$3:$A$12,0)),"NÃO MAPEADO")</f>
        <v>Em aprovação</v>
      </c>
    </row>
    <row r="72" customFormat="false" ht="15" hidden="false" customHeight="false" outlineLevel="0" collapsed="false">
      <c r="A72" s="0" t="s">
        <v>228</v>
      </c>
      <c r="B72" s="0" t="s">
        <v>53</v>
      </c>
      <c r="C72" s="5" t="s">
        <v>26</v>
      </c>
      <c r="D72" s="1" t="n">
        <v>94300</v>
      </c>
      <c r="E72" s="6" t="n">
        <v>13100</v>
      </c>
      <c r="F72" s="7" t="s">
        <v>33</v>
      </c>
      <c r="G72" s="7" t="s">
        <v>229</v>
      </c>
      <c r="H72" s="7" t="s">
        <v>146</v>
      </c>
      <c r="I72" s="7" t="s">
        <v>17</v>
      </c>
      <c r="J72" s="8" t="str">
        <f aca="false">IF(D72&lt;=Mapeamento!$E$2,"Até US$ 100 mil",IF(D72&lt;=Mapeamento!$E$3,"US$ 100–200 mil","Acima de US$ 200 mil"))</f>
        <v>Até US$ 100 mil</v>
      </c>
      <c r="K72" s="8" t="str">
        <f aca="false">IFERROR(INDEX(Mapeamento!$B$3:$B$12,MATCH(I72,Mapeamento!$A$3:$A$12,0)),"NÃO MAPEADO")</f>
        <v>Concluído</v>
      </c>
    </row>
    <row r="73" customFormat="false" ht="15" hidden="false" customHeight="false" outlineLevel="0" collapsed="false">
      <c r="A73" s="0" t="s">
        <v>230</v>
      </c>
      <c r="B73" s="0" t="s">
        <v>19</v>
      </c>
      <c r="C73" s="5" t="s">
        <v>108</v>
      </c>
      <c r="D73" s="1" t="n">
        <v>242000</v>
      </c>
      <c r="E73" s="6" t="n">
        <v>1100</v>
      </c>
      <c r="F73" s="7" t="s">
        <v>78</v>
      </c>
      <c r="G73" s="7" t="s">
        <v>231</v>
      </c>
      <c r="H73" s="7" t="s">
        <v>29</v>
      </c>
      <c r="I73" s="7" t="s">
        <v>113</v>
      </c>
      <c r="J73" s="8" t="str">
        <f aca="false">IF(D73&lt;=Mapeamento!$E$2,"Até US$ 100 mil",IF(D73&lt;=Mapeamento!$E$3,"US$ 100–200 mil","Acima de US$ 200 mil"))</f>
        <v>Acima de US$ 200 mil</v>
      </c>
      <c r="K73" s="8" t="str">
        <f aca="false">IFERROR(INDEX(Mapeamento!$B$3:$B$12,MATCH(I73,Mapeamento!$A$3:$A$12,0)),"NÃO MAPEADO")</f>
        <v>Em logística</v>
      </c>
    </row>
    <row r="74" customFormat="false" ht="15" hidden="false" customHeight="false" outlineLevel="0" collapsed="false">
      <c r="A74" s="0" t="s">
        <v>232</v>
      </c>
      <c r="B74" s="0" t="s">
        <v>233</v>
      </c>
      <c r="C74" s="5" t="s">
        <v>13</v>
      </c>
      <c r="D74" s="1" t="n">
        <v>82750</v>
      </c>
      <c r="E74" s="6" t="n">
        <v>22500</v>
      </c>
      <c r="F74" s="7" t="s">
        <v>14</v>
      </c>
      <c r="G74" s="7" t="s">
        <v>234</v>
      </c>
      <c r="H74" s="7" t="s">
        <v>123</v>
      </c>
      <c r="I74" s="7" t="s">
        <v>46</v>
      </c>
      <c r="J74" s="8" t="str">
        <f aca="false">IF(D74&lt;=Mapeamento!$E$2,"Até US$ 100 mil",IF(D74&lt;=Mapeamento!$E$3,"US$ 100–200 mil","Acima de US$ 200 mil"))</f>
        <v>Até US$ 100 mil</v>
      </c>
      <c r="K74" s="8" t="str">
        <f aca="false">IFERROR(INDEX(Mapeamento!$B$3:$B$12,MATCH(I74,Mapeamento!$A$3:$A$12,0)),"NÃO MAPEADO")</f>
        <v>Cancelado</v>
      </c>
    </row>
    <row r="75" customFormat="false" ht="15" hidden="false" customHeight="false" outlineLevel="0" collapsed="false">
      <c r="A75" s="0" t="s">
        <v>235</v>
      </c>
      <c r="B75" s="0" t="s">
        <v>107</v>
      </c>
      <c r="C75" s="5" t="s">
        <v>236</v>
      </c>
      <c r="D75" s="1" t="n">
        <v>91300</v>
      </c>
      <c r="E75" s="6" t="n">
        <v>0</v>
      </c>
      <c r="F75" s="7" t="s">
        <v>21</v>
      </c>
      <c r="G75" s="7" t="s">
        <v>237</v>
      </c>
      <c r="H75" s="7" t="s">
        <v>41</v>
      </c>
      <c r="I75" s="7" t="s">
        <v>17</v>
      </c>
      <c r="J75" s="8" t="str">
        <f aca="false">IF(D75&lt;=Mapeamento!$E$2,"Até US$ 100 mil",IF(D75&lt;=Mapeamento!$E$3,"US$ 100–200 mil","Acima de US$ 200 mil"))</f>
        <v>Até US$ 100 mil</v>
      </c>
      <c r="K75" s="8" t="str">
        <f aca="false">IFERROR(INDEX(Mapeamento!$B$3:$B$12,MATCH(I75,Mapeamento!$A$3:$A$12,0)),"NÃO MAPEADO")</f>
        <v>Concluído</v>
      </c>
    </row>
    <row r="76" customFormat="false" ht="15" hidden="false" customHeight="false" outlineLevel="0" collapsed="false">
      <c r="A76" s="0" t="s">
        <v>238</v>
      </c>
      <c r="B76" s="0" t="s">
        <v>103</v>
      </c>
      <c r="C76" s="5" t="s">
        <v>32</v>
      </c>
      <c r="D76" s="1" t="n">
        <v>79900</v>
      </c>
      <c r="E76" s="6" t="n">
        <v>44800</v>
      </c>
      <c r="F76" s="7" t="s">
        <v>27</v>
      </c>
      <c r="G76" s="7" t="s">
        <v>239</v>
      </c>
      <c r="H76" s="7" t="s">
        <v>29</v>
      </c>
      <c r="I76" s="7" t="s">
        <v>36</v>
      </c>
      <c r="J76" s="8" t="str">
        <f aca="false">IF(D76&lt;=Mapeamento!$E$2,"Até US$ 100 mil",IF(D76&lt;=Mapeamento!$E$3,"US$ 100–200 mil","Acima de US$ 200 mil"))</f>
        <v>Até US$ 100 mil</v>
      </c>
      <c r="K76" s="8" t="str">
        <f aca="false">IFERROR(INDEX(Mapeamento!$B$3:$B$12,MATCH(I76,Mapeamento!$A$3:$A$12,0)),"NÃO MAPEADO")</f>
        <v>Em aprovação</v>
      </c>
    </row>
    <row r="77" customFormat="false" ht="15" hidden="false" customHeight="false" outlineLevel="0" collapsed="false">
      <c r="A77" s="0" t="s">
        <v>11</v>
      </c>
      <c r="B77" s="0" t="s">
        <v>25</v>
      </c>
      <c r="C77" s="5" t="s">
        <v>20</v>
      </c>
      <c r="D77" s="1" t="n">
        <v>111000</v>
      </c>
      <c r="E77" s="6" t="n">
        <v>6700</v>
      </c>
      <c r="F77" s="7" t="s">
        <v>39</v>
      </c>
      <c r="G77" s="7" t="s">
        <v>240</v>
      </c>
      <c r="H77" s="7" t="s">
        <v>29</v>
      </c>
      <c r="I77" s="7" t="s">
        <v>30</v>
      </c>
      <c r="J77" s="8" t="str">
        <f aca="false">IF(D77&lt;=Mapeamento!$E$2,"Até US$ 100 mil",IF(D77&lt;=Mapeamento!$E$3,"US$ 100–200 mil","Acima de US$ 200 mil"))</f>
        <v>US$ 100–200 mil</v>
      </c>
      <c r="K77" s="8" t="str">
        <f aca="false">IFERROR(INDEX(Mapeamento!$B$3:$B$12,MATCH(I77,Mapeamento!$A$3:$A$12,0)),"NÃO MAPEADO")</f>
        <v>Em logística</v>
      </c>
    </row>
    <row r="78" customFormat="false" ht="15" hidden="false" customHeight="false" outlineLevel="0" collapsed="false">
      <c r="A78" s="0" t="s">
        <v>241</v>
      </c>
      <c r="B78" s="0" t="s">
        <v>99</v>
      </c>
      <c r="C78" s="5" t="s">
        <v>26</v>
      </c>
      <c r="D78" s="1" t="n">
        <v>156500</v>
      </c>
      <c r="E78" s="6" t="n">
        <v>4200</v>
      </c>
      <c r="F78" s="7" t="s">
        <v>33</v>
      </c>
      <c r="G78" s="7" t="s">
        <v>242</v>
      </c>
      <c r="H78" s="7" t="s">
        <v>162</v>
      </c>
      <c r="I78" s="7" t="s">
        <v>17</v>
      </c>
      <c r="J78" s="8" t="str">
        <f aca="false">IF(D78&lt;=Mapeamento!$E$2,"Até US$ 100 mil",IF(D78&lt;=Mapeamento!$E$3,"US$ 100–200 mil","Acima de US$ 200 mil"))</f>
        <v>US$ 100–200 mil</v>
      </c>
      <c r="K78" s="8" t="str">
        <f aca="false">IFERROR(INDEX(Mapeamento!$B$3:$B$12,MATCH(I78,Mapeamento!$A$3:$A$12,0)),"NÃO MAPEADO")</f>
        <v>Concluído</v>
      </c>
    </row>
    <row r="79" customFormat="false" ht="15" hidden="false" customHeight="false" outlineLevel="0" collapsed="false">
      <c r="A79" s="0" t="s">
        <v>243</v>
      </c>
      <c r="B79" s="0" t="s">
        <v>144</v>
      </c>
      <c r="C79" s="5" t="s">
        <v>108</v>
      </c>
      <c r="D79" s="1" t="n">
        <v>119900</v>
      </c>
      <c r="E79" s="6" t="n">
        <v>1250</v>
      </c>
      <c r="F79" s="7" t="s">
        <v>50</v>
      </c>
      <c r="G79" s="7" t="s">
        <v>244</v>
      </c>
      <c r="H79" s="7" t="s">
        <v>65</v>
      </c>
      <c r="I79" s="7" t="s">
        <v>36</v>
      </c>
      <c r="J79" s="8" t="str">
        <f aca="false">IF(D79&lt;=Mapeamento!$E$2,"Até US$ 100 mil",IF(D79&lt;=Mapeamento!$E$3,"US$ 100–200 mil","Acima de US$ 200 mil"))</f>
        <v>US$ 100–200 mil</v>
      </c>
      <c r="K79" s="8" t="str">
        <f aca="false">IFERROR(INDEX(Mapeamento!$B$3:$B$12,MATCH(I79,Mapeamento!$A$3:$A$12,0)),"NÃO MAPEADO")</f>
        <v>Em aprovação</v>
      </c>
    </row>
    <row r="80" customFormat="false" ht="15" hidden="false" customHeight="false" outlineLevel="0" collapsed="false">
      <c r="A80" s="0" t="s">
        <v>11</v>
      </c>
      <c r="B80" s="0" t="s">
        <v>132</v>
      </c>
      <c r="C80" s="5" t="s">
        <v>13</v>
      </c>
      <c r="D80" s="1" t="n">
        <v>73200</v>
      </c>
      <c r="E80" s="6" t="n">
        <v>18600</v>
      </c>
      <c r="F80" s="7" t="s">
        <v>21</v>
      </c>
      <c r="G80" s="7" t="s">
        <v>245</v>
      </c>
      <c r="H80" s="7" t="s">
        <v>162</v>
      </c>
      <c r="I80" s="7" t="s">
        <v>17</v>
      </c>
      <c r="J80" s="8" t="str">
        <f aca="false">IF(D80&lt;=Mapeamento!$E$2,"Até US$ 100 mil",IF(D80&lt;=Mapeamento!$E$3,"US$ 100–200 mil","Acima de US$ 200 mil"))</f>
        <v>Até US$ 100 mil</v>
      </c>
      <c r="K80" s="8" t="str">
        <f aca="false">IFERROR(INDEX(Mapeamento!$B$3:$B$12,MATCH(I80,Mapeamento!$A$3:$A$12,0)),"NÃO MAPEADO")</f>
        <v>Concluído</v>
      </c>
    </row>
    <row r="81" customFormat="false" ht="15" hidden="false" customHeight="false" outlineLevel="0" collapsed="false">
      <c r="A81" s="0" t="s">
        <v>246</v>
      </c>
      <c r="B81" s="0" t="s">
        <v>70</v>
      </c>
      <c r="C81" s="5" t="s">
        <v>20</v>
      </c>
      <c r="D81" s="1" t="n">
        <v>224000</v>
      </c>
      <c r="E81" s="6" t="n">
        <v>3000</v>
      </c>
      <c r="F81" s="7" t="s">
        <v>21</v>
      </c>
      <c r="G81" s="7" t="s">
        <v>247</v>
      </c>
      <c r="H81" s="7" t="s">
        <v>248</v>
      </c>
      <c r="I81" s="7" t="s">
        <v>80</v>
      </c>
      <c r="J81" s="8" t="str">
        <f aca="false">IF(D81&lt;=Mapeamento!$E$2,"Até US$ 100 mil",IF(D81&lt;=Mapeamento!$E$3,"US$ 100–200 mil","Acima de US$ 200 mil"))</f>
        <v>Acima de US$ 200 mil</v>
      </c>
      <c r="K81" s="8" t="str">
        <f aca="false">IFERROR(INDEX(Mapeamento!$B$3:$B$12,MATCH(I81,Mapeamento!$A$3:$A$12,0)),"NÃO MAPEADO")</f>
        <v>Em logística</v>
      </c>
    </row>
    <row r="82" customFormat="false" ht="15" hidden="false" customHeight="false" outlineLevel="0" collapsed="false">
      <c r="A82" s="0" t="s">
        <v>249</v>
      </c>
      <c r="B82" s="0" t="s">
        <v>137</v>
      </c>
      <c r="C82" s="5" t="s">
        <v>20</v>
      </c>
      <c r="D82" s="1" t="n">
        <v>126900</v>
      </c>
      <c r="E82" s="6" t="n">
        <v>7200</v>
      </c>
      <c r="F82" s="7" t="s">
        <v>14</v>
      </c>
      <c r="G82" s="7" t="s">
        <v>87</v>
      </c>
      <c r="H82" s="7" t="s">
        <v>45</v>
      </c>
      <c r="I82" s="7" t="s">
        <v>17</v>
      </c>
      <c r="J82" s="8" t="str">
        <f aca="false">IF(D82&lt;=Mapeamento!$E$2,"Até US$ 100 mil",IF(D82&lt;=Mapeamento!$E$3,"US$ 100–200 mil","Acima de US$ 200 mil"))</f>
        <v>US$ 100–200 mil</v>
      </c>
      <c r="K82" s="8" t="str">
        <f aca="false">IFERROR(INDEX(Mapeamento!$B$3:$B$12,MATCH(I82,Mapeamento!$A$3:$A$12,0)),"NÃO MAPEADO")</f>
        <v>Concluído</v>
      </c>
    </row>
    <row r="83" customFormat="false" ht="15" hidden="false" customHeight="false" outlineLevel="0" collapsed="false">
      <c r="A83" s="0" t="s">
        <v>250</v>
      </c>
      <c r="B83" s="0" t="s">
        <v>118</v>
      </c>
      <c r="C83" s="5" t="s">
        <v>26</v>
      </c>
      <c r="D83" s="1" t="n">
        <v>84500</v>
      </c>
      <c r="E83" s="6" t="n">
        <v>21400</v>
      </c>
      <c r="F83" s="7" t="s">
        <v>39</v>
      </c>
      <c r="G83" s="7" t="s">
        <v>75</v>
      </c>
      <c r="H83" s="7" t="s">
        <v>41</v>
      </c>
      <c r="I83" s="7" t="s">
        <v>36</v>
      </c>
      <c r="J83" s="8" t="str">
        <f aca="false">IF(D83&lt;=Mapeamento!$E$2,"Até US$ 100 mil",IF(D83&lt;=Mapeamento!$E$3,"US$ 100–200 mil","Acima de US$ 200 mil"))</f>
        <v>Até US$ 100 mil</v>
      </c>
      <c r="K83" s="8" t="str">
        <f aca="false">IFERROR(INDEX(Mapeamento!$B$3:$B$12,MATCH(I83,Mapeamento!$A$3:$A$12,0)),"NÃO MAPEADO")</f>
        <v>Em aprovação</v>
      </c>
    </row>
    <row r="84" customFormat="false" ht="15" hidden="false" customHeight="false" outlineLevel="0" collapsed="false">
      <c r="A84" s="0" t="s">
        <v>251</v>
      </c>
      <c r="B84" s="0" t="s">
        <v>31</v>
      </c>
      <c r="C84" s="5" t="s">
        <v>13</v>
      </c>
      <c r="D84" s="1" t="n">
        <v>69800</v>
      </c>
      <c r="E84" s="6" t="n">
        <v>26300</v>
      </c>
      <c r="F84" s="7" t="s">
        <v>27</v>
      </c>
      <c r="G84" s="7" t="s">
        <v>138</v>
      </c>
      <c r="H84" s="7" t="s">
        <v>45</v>
      </c>
      <c r="I84" s="7" t="s">
        <v>17</v>
      </c>
      <c r="J84" s="8" t="str">
        <f aca="false">IF(D84&lt;=Mapeamento!$E$2,"Até US$ 100 mil",IF(D84&lt;=Mapeamento!$E$3,"US$ 100–200 mil","Acima de US$ 200 mil"))</f>
        <v>Até US$ 100 mil</v>
      </c>
      <c r="K84" s="8" t="str">
        <f aca="false">IFERROR(INDEX(Mapeamento!$B$3:$B$12,MATCH(I84,Mapeamento!$A$3:$A$12,0)),"NÃO MAPEADO")</f>
        <v>Concluído</v>
      </c>
    </row>
    <row r="85" customFormat="false" ht="15" hidden="false" customHeight="false" outlineLevel="0" collapsed="false">
      <c r="A85" s="0" t="s">
        <v>11</v>
      </c>
      <c r="B85" s="0" t="s">
        <v>38</v>
      </c>
      <c r="C85" s="5" t="s">
        <v>108</v>
      </c>
      <c r="D85" s="1" t="n">
        <v>132700</v>
      </c>
      <c r="E85" s="6" t="n">
        <v>0</v>
      </c>
      <c r="F85" s="7" t="s">
        <v>21</v>
      </c>
      <c r="G85" s="7" t="s">
        <v>34</v>
      </c>
      <c r="H85" s="7" t="s">
        <v>35</v>
      </c>
      <c r="I85" s="7" t="s">
        <v>30</v>
      </c>
      <c r="J85" s="8" t="str">
        <f aca="false">IF(D85&lt;=Mapeamento!$E$2,"Até US$ 100 mil",IF(D85&lt;=Mapeamento!$E$3,"US$ 100–200 mil","Acima de US$ 200 mil"))</f>
        <v>US$ 100–200 mil</v>
      </c>
      <c r="K85" s="8" t="str">
        <f aca="false">IFERROR(INDEX(Mapeamento!$B$3:$B$12,MATCH(I85,Mapeamento!$A$3:$A$12,0)),"NÃO MAPEADO")</f>
        <v>Em logística</v>
      </c>
    </row>
    <row r="86" customFormat="false" ht="15" hidden="false" customHeight="false" outlineLevel="0" collapsed="false">
      <c r="A86" s="0" t="s">
        <v>252</v>
      </c>
      <c r="B86" s="0" t="s">
        <v>103</v>
      </c>
      <c r="C86" s="5" t="s">
        <v>32</v>
      </c>
      <c r="D86" s="1" t="n">
        <v>81000</v>
      </c>
      <c r="E86" s="6" t="n">
        <v>42</v>
      </c>
      <c r="F86" s="7" t="s">
        <v>33</v>
      </c>
      <c r="G86" s="7" t="s">
        <v>28</v>
      </c>
      <c r="H86" s="7" t="s">
        <v>29</v>
      </c>
      <c r="I86" s="7" t="s">
        <v>17</v>
      </c>
      <c r="J86" s="8" t="str">
        <f aca="false">IF(D86&lt;=Mapeamento!$E$2,"Até US$ 100 mil",IF(D86&lt;=Mapeamento!$E$3,"US$ 100–200 mil","Acima de US$ 200 mil"))</f>
        <v>Até US$ 100 mil</v>
      </c>
      <c r="K86" s="8" t="str">
        <f aca="false">IFERROR(INDEX(Mapeamento!$B$3:$B$12,MATCH(I86,Mapeamento!$A$3:$A$12,0)),"NÃO MAPEADO")</f>
        <v>Concluído</v>
      </c>
    </row>
    <row r="87" customFormat="false" ht="15" hidden="false" customHeight="false" outlineLevel="0" collapsed="false">
      <c r="A87" s="0" t="s">
        <v>253</v>
      </c>
      <c r="B87" s="0" t="s">
        <v>12</v>
      </c>
      <c r="C87" s="5" t="s">
        <v>26</v>
      </c>
      <c r="D87" s="1" t="n">
        <v>78900</v>
      </c>
      <c r="E87" s="6" t="n">
        <v>17500</v>
      </c>
      <c r="F87" s="7" t="s">
        <v>58</v>
      </c>
      <c r="G87" s="7" t="s">
        <v>22</v>
      </c>
      <c r="H87" s="7" t="s">
        <v>23</v>
      </c>
      <c r="I87" s="7" t="s">
        <v>46</v>
      </c>
      <c r="J87" s="8" t="str">
        <f aca="false">IF(D87&lt;=Mapeamento!$E$2,"Até US$ 100 mil",IF(D87&lt;=Mapeamento!$E$3,"US$ 100–200 mil","Acima de US$ 200 mil"))</f>
        <v>Até US$ 100 mil</v>
      </c>
      <c r="K87" s="8" t="str">
        <f aca="false">IFERROR(INDEX(Mapeamento!$B$3:$B$12,MATCH(I87,Mapeamento!$A$3:$A$12,0)),"NÃO MAPEADO")</f>
        <v>Cancelado</v>
      </c>
    </row>
    <row r="88" customFormat="false" ht="15" hidden="false" customHeight="false" outlineLevel="0" collapsed="false">
      <c r="A88" s="0" t="s">
        <v>254</v>
      </c>
      <c r="B88" s="0" t="s">
        <v>19</v>
      </c>
      <c r="C88" s="5" t="s">
        <v>236</v>
      </c>
      <c r="D88" s="1" t="n">
        <v>249300</v>
      </c>
      <c r="E88" s="6" t="n">
        <v>900</v>
      </c>
      <c r="F88" s="7" t="s">
        <v>21</v>
      </c>
      <c r="G88" s="7" t="s">
        <v>15</v>
      </c>
      <c r="H88" s="7" t="s">
        <v>16</v>
      </c>
      <c r="I88" s="7" t="s">
        <v>80</v>
      </c>
      <c r="J88" s="8" t="str">
        <f aca="false">IF(D88&lt;=Mapeamento!$E$2,"Até US$ 100 mil",IF(D88&lt;=Mapeamento!$E$3,"US$ 100–200 mil","Acima de US$ 200 mil"))</f>
        <v>Acima de US$ 200 mil</v>
      </c>
      <c r="K88" s="8" t="str">
        <f aca="false">IFERROR(INDEX(Mapeamento!$B$3:$B$12,MATCH(I88,Mapeamento!$A$3:$A$12,0)),"NÃO MAPEADO")</f>
        <v>Em logística</v>
      </c>
    </row>
    <row r="89" customFormat="false" ht="15" hidden="false" customHeight="false" outlineLevel="0" collapsed="false">
      <c r="A89" s="0" t="s">
        <v>11</v>
      </c>
      <c r="B89" s="0" t="s">
        <v>25</v>
      </c>
      <c r="C89" s="5" t="s">
        <v>20</v>
      </c>
      <c r="D89" s="1" t="n">
        <v>108750</v>
      </c>
      <c r="E89" s="6" t="n">
        <v>5530</v>
      </c>
      <c r="F89" s="7" t="s">
        <v>21</v>
      </c>
      <c r="G89" s="7" t="s">
        <v>64</v>
      </c>
      <c r="H89" s="7" t="s">
        <v>65</v>
      </c>
      <c r="I89" s="7" t="s">
        <v>55</v>
      </c>
      <c r="J89" s="8" t="str">
        <f aca="false">IF(D89&lt;=Mapeamento!$E$2,"Até US$ 100 mil",IF(D89&lt;=Mapeamento!$E$3,"US$ 100–200 mil","Acima de US$ 200 mil"))</f>
        <v>US$ 100–200 mil</v>
      </c>
      <c r="K89" s="8" t="str">
        <f aca="false">IFERROR(INDEX(Mapeamento!$B$3:$B$12,MATCH(I89,Mapeamento!$A$3:$A$12,0)),"NÃO MAPEADO")</f>
        <v>Em aprovação</v>
      </c>
    </row>
    <row r="90" customFormat="false" ht="15" hidden="false" customHeight="false" outlineLevel="0" collapsed="false">
      <c r="A90" s="0" t="s">
        <v>11</v>
      </c>
      <c r="B90" s="0" t="s">
        <v>107</v>
      </c>
      <c r="C90" s="5" t="s">
        <v>236</v>
      </c>
      <c r="D90" s="1" t="n">
        <v>92600</v>
      </c>
      <c r="E90" s="6" t="n">
        <v>0</v>
      </c>
      <c r="F90" s="7" t="s">
        <v>27</v>
      </c>
      <c r="G90" s="7" t="s">
        <v>59</v>
      </c>
      <c r="H90" s="7" t="s">
        <v>60</v>
      </c>
      <c r="I90" s="7" t="s">
        <v>61</v>
      </c>
      <c r="J90" s="8" t="str">
        <f aca="false">IF(D90&lt;=Mapeamento!$E$2,"Até US$ 100 mil",IF(D90&lt;=Mapeamento!$E$3,"US$ 100–200 mil","Acima de US$ 200 mil"))</f>
        <v>Até US$ 100 mil</v>
      </c>
      <c r="K90" s="8" t="str">
        <f aca="false">IFERROR(INDEX(Mapeamento!$B$3:$B$12,MATCH(I90,Mapeamento!$A$3:$A$12,0)),"NÃO MAPEADO")</f>
        <v>Em logística</v>
      </c>
    </row>
    <row r="91" customFormat="false" ht="15" hidden="false" customHeight="false" outlineLevel="0" collapsed="false">
      <c r="A91" s="0" t="s">
        <v>255</v>
      </c>
      <c r="B91" s="0" t="s">
        <v>67</v>
      </c>
      <c r="C91" s="5" t="s">
        <v>108</v>
      </c>
      <c r="D91" s="1" t="n">
        <v>164000</v>
      </c>
      <c r="E91" s="6" t="n">
        <v>0</v>
      </c>
      <c r="F91" s="7" t="s">
        <v>68</v>
      </c>
      <c r="G91" s="7" t="s">
        <v>69</v>
      </c>
      <c r="H91" s="7" t="s">
        <v>29</v>
      </c>
      <c r="I91" s="7" t="s">
        <v>30</v>
      </c>
      <c r="J91" s="8" t="str">
        <f aca="false">IF(D91&lt;=Mapeamento!$E$2,"Até US$ 100 mil",IF(D91&lt;=Mapeamento!$E$3,"US$ 100–200 mil","Acima de US$ 200 mil"))</f>
        <v>US$ 100–200 mil</v>
      </c>
      <c r="K91" s="8" t="str">
        <f aca="false">IFERROR(INDEX(Mapeamento!$B$3:$B$12,MATCH(I91,Mapeamento!$A$3:$A$12,0)),"NÃO MAPEADO")</f>
        <v>Em logística</v>
      </c>
    </row>
    <row r="92" customFormat="false" ht="15" hidden="false" customHeight="false" outlineLevel="0" collapsed="false">
      <c r="A92" s="0" t="s">
        <v>256</v>
      </c>
      <c r="B92" s="0" t="s">
        <v>148</v>
      </c>
      <c r="C92" s="5" t="s">
        <v>20</v>
      </c>
      <c r="D92" s="1" t="n">
        <v>119000</v>
      </c>
      <c r="E92" s="6" t="n">
        <v>13400</v>
      </c>
      <c r="F92" s="7" t="s">
        <v>14</v>
      </c>
      <c r="G92" s="7" t="s">
        <v>257</v>
      </c>
      <c r="H92" s="7" t="s">
        <v>41</v>
      </c>
      <c r="I92" s="7" t="s">
        <v>17</v>
      </c>
      <c r="J92" s="8" t="str">
        <f aca="false">IF(D92&lt;=Mapeamento!$E$2,"Até US$ 100 mil",IF(D92&lt;=Mapeamento!$E$3,"US$ 100–200 mil","Acima de US$ 200 mil"))</f>
        <v>US$ 100–200 mil</v>
      </c>
      <c r="K92" s="8" t="str">
        <f aca="false">IFERROR(INDEX(Mapeamento!$B$3:$B$12,MATCH(I92,Mapeamento!$A$3:$A$12,0)),"NÃO MAPEADO")</f>
        <v>Concluído</v>
      </c>
    </row>
    <row r="93" customFormat="false" ht="15" hidden="false" customHeight="false" outlineLevel="0" collapsed="false">
      <c r="A93" s="0" t="s">
        <v>11</v>
      </c>
      <c r="B93" s="0" t="s">
        <v>70</v>
      </c>
      <c r="C93" s="5" t="s">
        <v>236</v>
      </c>
      <c r="D93" s="1" t="n">
        <v>232500</v>
      </c>
      <c r="E93" s="6" t="n">
        <v>1700</v>
      </c>
      <c r="F93" s="7" t="s">
        <v>21</v>
      </c>
      <c r="G93" s="7" t="s">
        <v>71</v>
      </c>
      <c r="H93" s="7" t="s">
        <v>72</v>
      </c>
      <c r="I93" s="7" t="s">
        <v>36</v>
      </c>
      <c r="J93" s="8" t="str">
        <f aca="false">IF(D93&lt;=Mapeamento!$E$2,"Até US$ 100 mil",IF(D93&lt;=Mapeamento!$E$3,"US$ 100–200 mil","Acima de US$ 200 mil"))</f>
        <v>Acima de US$ 200 mil</v>
      </c>
      <c r="K93" s="8" t="str">
        <f aca="false">IFERROR(INDEX(Mapeamento!$B$3:$B$12,MATCH(I93,Mapeamento!$A$3:$A$12,0)),"NÃO MAPEADO")</f>
        <v>Em aprovação</v>
      </c>
    </row>
    <row r="94" customFormat="false" ht="15" hidden="false" customHeight="false" outlineLevel="0" collapsed="false">
      <c r="A94" s="0" t="s">
        <v>258</v>
      </c>
      <c r="B94" s="0" t="s">
        <v>53</v>
      </c>
      <c r="C94" s="5" t="s">
        <v>26</v>
      </c>
      <c r="D94" s="1" t="n">
        <v>96800</v>
      </c>
      <c r="E94" s="6" t="n">
        <v>14000</v>
      </c>
      <c r="F94" s="7" t="s">
        <v>50</v>
      </c>
      <c r="G94" s="7" t="s">
        <v>93</v>
      </c>
      <c r="H94" s="7" t="s">
        <v>94</v>
      </c>
      <c r="I94" s="7" t="s">
        <v>17</v>
      </c>
      <c r="J94" s="8" t="str">
        <f aca="false">IF(D94&lt;=Mapeamento!$E$2,"Até US$ 100 mil",IF(D94&lt;=Mapeamento!$E$3,"US$ 100–200 mil","Acima de US$ 200 mil"))</f>
        <v>Até US$ 100 mil</v>
      </c>
      <c r="K94" s="8" t="str">
        <f aca="false">IFERROR(INDEX(Mapeamento!$B$3:$B$12,MATCH(I94,Mapeamento!$A$3:$A$12,0)),"NÃO MAPEADO")</f>
        <v>Concluído</v>
      </c>
    </row>
    <row r="95" customFormat="false" ht="15" hidden="false" customHeight="false" outlineLevel="0" collapsed="false">
      <c r="A95" s="0" t="s">
        <v>259</v>
      </c>
      <c r="B95" s="0" t="s">
        <v>132</v>
      </c>
      <c r="C95" s="5" t="s">
        <v>13</v>
      </c>
      <c r="D95" s="1" t="n">
        <v>74400</v>
      </c>
      <c r="E95" s="6" t="n">
        <v>20750</v>
      </c>
      <c r="F95" s="7" t="s">
        <v>33</v>
      </c>
      <c r="G95" s="7" t="s">
        <v>171</v>
      </c>
      <c r="H95" s="7" t="s">
        <v>65</v>
      </c>
      <c r="I95" s="7" t="s">
        <v>113</v>
      </c>
      <c r="J95" s="8" t="str">
        <f aca="false">IF(D95&lt;=Mapeamento!$E$2,"Até US$ 100 mil",IF(D95&lt;=Mapeamento!$E$3,"US$ 100–200 mil","Acima de US$ 200 mil"))</f>
        <v>Até US$ 100 mil</v>
      </c>
      <c r="K95" s="8" t="str">
        <f aca="false">IFERROR(INDEX(Mapeamento!$B$3:$B$12,MATCH(I95,Mapeamento!$A$3:$A$12,0)),"NÃO MAPEADO")</f>
        <v>Em logística</v>
      </c>
    </row>
    <row r="96" customFormat="false" ht="15" hidden="false" customHeight="false" outlineLevel="0" collapsed="false">
      <c r="A96" s="0" t="s">
        <v>260</v>
      </c>
      <c r="B96" s="0" t="s">
        <v>115</v>
      </c>
      <c r="C96" s="5" t="s">
        <v>108</v>
      </c>
      <c r="D96" s="1" t="n">
        <v>148500</v>
      </c>
      <c r="E96" s="6" t="n">
        <v>5200</v>
      </c>
      <c r="F96" s="7" t="s">
        <v>78</v>
      </c>
      <c r="G96" s="7" t="s">
        <v>83</v>
      </c>
      <c r="H96" s="7" t="s">
        <v>84</v>
      </c>
      <c r="I96" s="7" t="s">
        <v>17</v>
      </c>
      <c r="J96" s="8" t="str">
        <f aca="false">IF(D96&lt;=Mapeamento!$E$2,"Até US$ 100 mil",IF(D96&lt;=Mapeamento!$E$3,"US$ 100–200 mil","Acima de US$ 200 mil"))</f>
        <v>US$ 100–200 mil</v>
      </c>
      <c r="K96" s="8" t="str">
        <f aca="false">IFERROR(INDEX(Mapeamento!$B$3:$B$12,MATCH(I96,Mapeamento!$A$3:$A$12,0)),"NÃO MAPEADO")</f>
        <v>Concluído</v>
      </c>
    </row>
    <row r="97" customFormat="false" ht="15" hidden="false" customHeight="false" outlineLevel="0" collapsed="false">
      <c r="A97" s="0" t="s">
        <v>261</v>
      </c>
      <c r="B97" s="0" t="s">
        <v>57</v>
      </c>
      <c r="C97" s="5" t="s">
        <v>32</v>
      </c>
      <c r="D97" s="1" t="n">
        <v>71900</v>
      </c>
      <c r="E97" s="6" t="n">
        <v>29600</v>
      </c>
      <c r="F97" s="7" t="s">
        <v>39</v>
      </c>
      <c r="G97" s="7" t="s">
        <v>174</v>
      </c>
      <c r="H97" s="7" t="s">
        <v>41</v>
      </c>
      <c r="I97" s="7" t="s">
        <v>36</v>
      </c>
      <c r="J97" s="8" t="str">
        <f aca="false">IF(D97&lt;=Mapeamento!$E$2,"Até US$ 100 mil",IF(D97&lt;=Mapeamento!$E$3,"US$ 100–200 mil","Acima de US$ 200 mil"))</f>
        <v>Até US$ 100 mil</v>
      </c>
      <c r="K97" s="8" t="str">
        <f aca="false">IFERROR(INDEX(Mapeamento!$B$3:$B$12,MATCH(I97,Mapeamento!$A$3:$A$12,0)),"NÃO MAPEADO")</f>
        <v>Em aprovação</v>
      </c>
    </row>
    <row r="98" customFormat="false" ht="15" hidden="false" customHeight="false" outlineLevel="0" collapsed="false">
      <c r="A98" s="0" t="s">
        <v>11</v>
      </c>
      <c r="B98" s="0" t="s">
        <v>175</v>
      </c>
      <c r="C98" s="5" t="s">
        <v>20</v>
      </c>
      <c r="D98" s="1" t="n">
        <v>143250</v>
      </c>
      <c r="E98" s="6" t="n">
        <v>3100</v>
      </c>
      <c r="F98" s="7" t="s">
        <v>27</v>
      </c>
      <c r="G98" s="7" t="s">
        <v>176</v>
      </c>
      <c r="H98" s="7" t="s">
        <v>41</v>
      </c>
      <c r="I98" s="7" t="s">
        <v>30</v>
      </c>
      <c r="J98" s="8" t="str">
        <f aca="false">IF(D98&lt;=Mapeamento!$E$2,"Até US$ 100 mil",IF(D98&lt;=Mapeamento!$E$3,"US$ 100–200 mil","Acima de US$ 200 mil"))</f>
        <v>US$ 100–200 mil</v>
      </c>
      <c r="K98" s="8" t="str">
        <f aca="false">IFERROR(INDEX(Mapeamento!$B$3:$B$12,MATCH(I98,Mapeamento!$A$3:$A$12,0)),"NÃO MAPEADO")</f>
        <v>Em logística</v>
      </c>
    </row>
    <row r="99" customFormat="false" ht="15" hidden="false" customHeight="false" outlineLevel="0" collapsed="false">
      <c r="A99" s="0" t="s">
        <v>262</v>
      </c>
      <c r="B99" s="0" t="s">
        <v>164</v>
      </c>
      <c r="C99" s="5" t="s">
        <v>49</v>
      </c>
      <c r="D99" s="1" t="n">
        <v>137500</v>
      </c>
      <c r="E99" s="6" t="n">
        <v>48000</v>
      </c>
      <c r="F99" s="7" t="s">
        <v>21</v>
      </c>
      <c r="G99" s="7" t="s">
        <v>178</v>
      </c>
      <c r="H99" s="7" t="s">
        <v>179</v>
      </c>
      <c r="I99" s="7" t="s">
        <v>17</v>
      </c>
      <c r="J99" s="8" t="str">
        <f aca="false">IF(D99&lt;=Mapeamento!$E$2,"Até US$ 100 mil",IF(D99&lt;=Mapeamento!$E$3,"US$ 100–200 mil","Acima de US$ 200 mil"))</f>
        <v>US$ 100–200 mil</v>
      </c>
      <c r="K99" s="8" t="str">
        <f aca="false">IFERROR(INDEX(Mapeamento!$B$3:$B$12,MATCH(I99,Mapeamento!$A$3:$A$12,0)),"NÃO MAPEADO")</f>
        <v>Concluído</v>
      </c>
    </row>
    <row r="100" customFormat="false" ht="15" hidden="false" customHeight="false" outlineLevel="0" collapsed="false">
      <c r="A100" s="0" t="s">
        <v>263</v>
      </c>
      <c r="B100" s="0" t="s">
        <v>77</v>
      </c>
      <c r="C100" s="5" t="s">
        <v>108</v>
      </c>
      <c r="D100" s="1" t="n">
        <v>204800</v>
      </c>
      <c r="E100" s="6" t="n">
        <v>3300</v>
      </c>
      <c r="F100" s="7" t="s">
        <v>14</v>
      </c>
      <c r="G100" s="7" t="s">
        <v>182</v>
      </c>
      <c r="H100" s="7" t="s">
        <v>183</v>
      </c>
      <c r="I100" s="7" t="s">
        <v>36</v>
      </c>
      <c r="J100" s="8" t="str">
        <f aca="false">IF(D100&lt;=Mapeamento!$E$2,"Até US$ 100 mil",IF(D100&lt;=Mapeamento!$E$3,"US$ 100–200 mil","Acima de US$ 200 mil"))</f>
        <v>Acima de US$ 200 mil</v>
      </c>
      <c r="K100" s="8" t="str">
        <f aca="false">IFERROR(INDEX(Mapeamento!$B$3:$B$12,MATCH(I100,Mapeamento!$A$3:$A$12,0)),"NÃO MAPEADO")</f>
        <v>Em aprovação</v>
      </c>
    </row>
    <row r="101" customFormat="false" ht="15" hidden="false" customHeight="false" outlineLevel="0" collapsed="false">
      <c r="A101" s="0" t="s">
        <v>264</v>
      </c>
      <c r="B101" s="0" t="s">
        <v>110</v>
      </c>
      <c r="C101" s="5" t="s">
        <v>20</v>
      </c>
      <c r="D101" s="1" t="n">
        <v>271700</v>
      </c>
      <c r="E101" s="6" t="n">
        <v>1050</v>
      </c>
      <c r="F101" s="7" t="s">
        <v>50</v>
      </c>
      <c r="G101" s="7" t="s">
        <v>185</v>
      </c>
      <c r="H101" s="7" t="s">
        <v>186</v>
      </c>
      <c r="I101" s="7" t="s">
        <v>17</v>
      </c>
      <c r="J101" s="8" t="str">
        <f aca="false">IF(D101&lt;=Mapeamento!$E$2,"Até US$ 100 mil",IF(D101&lt;=Mapeamento!$E$3,"US$ 100–200 mil","Acima de US$ 200 mil"))</f>
        <v>Acima de US$ 200 mil</v>
      </c>
      <c r="K101" s="8" t="str">
        <f aca="false">IFERROR(INDEX(Mapeamento!$B$3:$B$12,MATCH(I101,Mapeamento!$A$3:$A$12,0)),"NÃO MAPEADO")</f>
        <v>Concluído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4" min="4" style="0" width="28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9" t="s">
        <v>265</v>
      </c>
      <c r="D1" s="9" t="s">
        <v>266</v>
      </c>
    </row>
    <row r="2" customFormat="false" ht="15" hidden="false" customHeight="false" outlineLevel="0" collapsed="false">
      <c r="A2" s="9" t="s">
        <v>267</v>
      </c>
      <c r="B2" s="9" t="s">
        <v>268</v>
      </c>
      <c r="D2" s="8" t="s">
        <v>269</v>
      </c>
      <c r="E2" s="10" t="n">
        <v>100000</v>
      </c>
    </row>
    <row r="3" customFormat="false" ht="15" hidden="false" customHeight="false" outlineLevel="0" collapsed="false">
      <c r="A3" s="8" t="s">
        <v>17</v>
      </c>
      <c r="B3" s="11" t="s">
        <v>270</v>
      </c>
      <c r="D3" s="8" t="s">
        <v>271</v>
      </c>
      <c r="E3" s="10" t="n">
        <v>200000</v>
      </c>
    </row>
    <row r="4" customFormat="false" ht="15" hidden="false" customHeight="false" outlineLevel="0" collapsed="false">
      <c r="A4" s="8" t="s">
        <v>36</v>
      </c>
      <c r="B4" s="11" t="s">
        <v>272</v>
      </c>
    </row>
    <row r="5" customFormat="false" ht="15" hidden="false" customHeight="false" outlineLevel="0" collapsed="false">
      <c r="A5" s="8" t="s">
        <v>55</v>
      </c>
      <c r="B5" s="11" t="s">
        <v>272</v>
      </c>
      <c r="D5" s="9" t="s">
        <v>273</v>
      </c>
    </row>
    <row r="6" customFormat="false" ht="15" hidden="false" customHeight="false" outlineLevel="0" collapsed="false">
      <c r="A6" s="8" t="s">
        <v>136</v>
      </c>
      <c r="B6" s="11" t="s">
        <v>272</v>
      </c>
      <c r="D6" s="8" t="s">
        <v>274</v>
      </c>
    </row>
    <row r="7" customFormat="false" ht="15" hidden="false" customHeight="false" outlineLevel="0" collapsed="false">
      <c r="A7" s="8" t="s">
        <v>193</v>
      </c>
      <c r="B7" s="11" t="s">
        <v>272</v>
      </c>
      <c r="D7" s="8" t="s">
        <v>275</v>
      </c>
    </row>
    <row r="8" customFormat="false" ht="15" hidden="false" customHeight="false" outlineLevel="0" collapsed="false">
      <c r="A8" s="8" t="s">
        <v>30</v>
      </c>
      <c r="B8" s="11" t="s">
        <v>276</v>
      </c>
      <c r="D8" s="8" t="s">
        <v>277</v>
      </c>
    </row>
    <row r="9" customFormat="false" ht="15" hidden="false" customHeight="false" outlineLevel="0" collapsed="false">
      <c r="A9" s="8" t="s">
        <v>61</v>
      </c>
      <c r="B9" s="11" t="s">
        <v>276</v>
      </c>
    </row>
    <row r="10" customFormat="false" ht="15" hidden="false" customHeight="false" outlineLevel="0" collapsed="false">
      <c r="A10" s="8" t="s">
        <v>80</v>
      </c>
      <c r="B10" s="11" t="s">
        <v>276</v>
      </c>
    </row>
    <row r="11" customFormat="false" ht="15" hidden="false" customHeight="false" outlineLevel="0" collapsed="false">
      <c r="A11" s="8" t="s">
        <v>113</v>
      </c>
      <c r="B11" s="11" t="s">
        <v>276</v>
      </c>
    </row>
    <row r="12" customFormat="false" ht="15" hidden="false" customHeight="false" outlineLevel="0" collapsed="false">
      <c r="A12" s="8" t="s">
        <v>46</v>
      </c>
      <c r="B12" s="11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2026-05-08T13:41:58Z</dcterms:created>
  <dc:creator>openpyxl</dc:creator>
  <dc:description/>
  <dc:language>en-US</dc:language>
  <cp:lastModifiedBy>Caio Navia</cp:lastModifiedBy>
  <dcterms:modified xsi:type="dcterms:W3CDTF">2026-10-19T01:51:38Z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